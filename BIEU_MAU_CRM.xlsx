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 activeTab="1"/>
  </bookViews>
  <sheets>
    <sheet name="Bảng sản phẩm" sheetId="5" r:id="rId1"/>
    <sheet name="Báo giá " sheetId="30" r:id="rId2"/>
    <sheet name="Đơn hàng" sheetId="45" r:id="rId3"/>
    <sheet name="Lệnh xuất - BBGH" sheetId="36" r:id="rId4"/>
    <sheet name="Phiếu thu" sheetId="46" r:id="rId5"/>
    <sheet name="Phiếu chi" sheetId="47" r:id="rId6"/>
    <sheet name="Sheet1" sheetId="48" r:id="rId7"/>
  </sheets>
  <externalReferences>
    <externalReference r:id="rId8"/>
  </externalReferences>
  <definedNames>
    <definedName name="_xlnm._FilterDatabase" localSheetId="0" hidden="1">'Bảng sản phẩm'!$A$4:$F$75</definedName>
    <definedName name="_xlnm.Print_Area" localSheetId="1">'Báo giá '!$A$1:$H$81</definedName>
    <definedName name="_xlnm.Print_Area" localSheetId="2">'Đơn hàng'!$A$1:$H$79</definedName>
    <definedName name="_xlnm.Print_Area" localSheetId="3">'Lệnh xuất - BBGH'!$A$1:$F$138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<sst xmlns="http://schemas.openxmlformats.org/spreadsheetml/2006/main" count="1294" uniqueCount="714">
  <si>
    <t>BẢNG HÀNG HÓA</t>
  </si>
  <si>
    <t>Stt</t>
  </si>
  <si>
    <t>Mã Sản phẩm</t>
  </si>
  <si>
    <t>Tên sản phẩm</t>
  </si>
  <si>
    <t xml:space="preserve">Đơn vị tính </t>
  </si>
  <si>
    <t xml:space="preserve">Đơn giá </t>
  </si>
  <si>
    <t xml:space="preserve">Hình ảnh </t>
  </si>
  <si>
    <t>GIẤY IN , GIẤY PHOTO , BÌA CÁC LOẠI</t>
  </si>
  <si>
    <t>a1</t>
  </si>
  <si>
    <t>Giấy  Double A A4 ĐL70</t>
  </si>
  <si>
    <t>Ream</t>
  </si>
  <si>
    <t>a2</t>
  </si>
  <si>
    <t>Giấy IK Plus  A4 ĐL70</t>
  </si>
  <si>
    <t>a3</t>
  </si>
  <si>
    <t>Giấy  Paper One A4 ĐL 70</t>
  </si>
  <si>
    <t>a4</t>
  </si>
  <si>
    <t>Giấy A4 Acura ĐL 70gsm</t>
  </si>
  <si>
    <t>a5</t>
  </si>
  <si>
    <t>Giấy A4 Acura Plus ĐL 70gsm</t>
  </si>
  <si>
    <t>a6</t>
  </si>
  <si>
    <t>Giấy A4 Qualiti A4 80/90gms</t>
  </si>
  <si>
    <t>a7</t>
  </si>
  <si>
    <t>Giấy A4 IK Copy 65/90</t>
  </si>
  <si>
    <t>a8</t>
  </si>
  <si>
    <t>Giấy A4 Copy One A4 80gsm</t>
  </si>
  <si>
    <t>a9</t>
  </si>
  <si>
    <t>Giấy Smartis A4</t>
  </si>
  <si>
    <t>a10</t>
  </si>
  <si>
    <t>Giấy quality A4 ĐL 70</t>
  </si>
  <si>
    <t>a11</t>
  </si>
  <si>
    <t>Giấy Green Pine A4 70gms</t>
  </si>
  <si>
    <t>a12</t>
  </si>
  <si>
    <t>Giấy IK one A4 70/90</t>
  </si>
  <si>
    <t>a13</t>
  </si>
  <si>
    <t>Giấy Epaper A4 70/90</t>
  </si>
  <si>
    <t>a14</t>
  </si>
  <si>
    <t>Giấy Green Pine A4 65 gms</t>
  </si>
  <si>
    <t>a15</t>
  </si>
  <si>
    <t>Giấy Green A4 73gms</t>
  </si>
  <si>
    <t>a16</t>
  </si>
  <si>
    <t>Giấy  Bãi Bằng A4</t>
  </si>
  <si>
    <t>a17</t>
  </si>
  <si>
    <t>Giấy in A4 Paper One ĐL 80 gsm</t>
  </si>
  <si>
    <t>Giấy in A4 Double A ĐL80gsm</t>
  </si>
  <si>
    <t>Giấy A4 An Hòa ĐL 70gsm ( Màng co )</t>
  </si>
  <si>
    <t>Giấy A3 Green Pine 70gsm</t>
  </si>
  <si>
    <t>Giấy A3 King 100 70gsm</t>
  </si>
  <si>
    <t>Giấy in A3 IK 70gms</t>
  </si>
  <si>
    <t>Giấy in A3 Paper One ĐL 70gsm</t>
  </si>
  <si>
    <t>Giấy in A3  Double A ĐL 70gram</t>
  </si>
  <si>
    <t>Giấy A5 Double A 70gsm</t>
  </si>
  <si>
    <t>Giấy A5 Ik plus 70gsm</t>
  </si>
  <si>
    <t>Giấy A5 Green 70gsm</t>
  </si>
  <si>
    <t xml:space="preserve">
Giấy FAST COPY 70</t>
  </si>
  <si>
    <t>Giấy Golden Star A4 70gsm</t>
  </si>
  <si>
    <t>Giấy Green A5 65gms</t>
  </si>
  <si>
    <t>Giấy photo màu( Xanh, hồng, vàng..) A4</t>
  </si>
  <si>
    <t>Giấy photo màu đặc biệt A4</t>
  </si>
  <si>
    <t>Bìa one xanh lá A4 - 100tờ/tập - Batos</t>
  </si>
  <si>
    <t>Tập</t>
  </si>
  <si>
    <t>Bìa one xanh biển A4 - 100tờ/tập - Batos</t>
  </si>
  <si>
    <t>Bìa one hồng A4 - 100tờ/tập - Batos</t>
  </si>
  <si>
    <t>Bìa one vàng A4 - 100tờ/tập - Batos</t>
  </si>
  <si>
    <t>Bìa one trắng A4 - 100tờ/tập - Batos</t>
  </si>
  <si>
    <t>Bìa màu ngoại xanh A4 T&amp;T - 100tờ/tập</t>
  </si>
  <si>
    <t>Bìa màu ngoại hồng A4 T&amp;T - 100tờ/tập</t>
  </si>
  <si>
    <t>Bìa màu ngoại vàng A4 T&amp;T - 100tờ/tập</t>
  </si>
  <si>
    <t>Bìa màu ngoại  trắng A4 T&amp;T - 100tờ/tập</t>
  </si>
  <si>
    <t>Bìa one xanh A3 ĐL 160gsm 100 tờ/tập</t>
  </si>
  <si>
    <t>Bìa one vàng A3 ĐL 160gsm 100 tờ/tập</t>
  </si>
  <si>
    <t>Bìa one hồng A3 ĐL 160gsm 100 tờ/tập</t>
  </si>
  <si>
    <t>Bìa màu đặc biệt 100 tờ/tập ( cam , đỏ,đen …)</t>
  </si>
  <si>
    <t>Giấy bìa trộn nhiều màu (1 Tập nhiều màu)</t>
  </si>
  <si>
    <t>GIẤY IN CUỘN KHỔ LỚN</t>
  </si>
  <si>
    <t>Giấy cuộn A0-ĐL 80</t>
  </si>
  <si>
    <t>Cuộn</t>
  </si>
  <si>
    <t>Giấy cuộn A1-ĐL 80</t>
  </si>
  <si>
    <t>Giấy cuộn A2-ĐL 80</t>
  </si>
  <si>
    <t xml:space="preserve">Giấy cuộn A0- ĐL 100 </t>
  </si>
  <si>
    <t xml:space="preserve">Giấy cuộn A1- ĐL 100 </t>
  </si>
  <si>
    <t xml:space="preserve">Giấy cuộn A2- ĐL 100 </t>
  </si>
  <si>
    <t>Giấy cuộn A0- ĐL 120</t>
  </si>
  <si>
    <t xml:space="preserve">Giấy cuộn A1- ĐL 120 </t>
  </si>
  <si>
    <t xml:space="preserve">Giấy cuộn A2- ĐL 120 </t>
  </si>
  <si>
    <t>Giấy A0  ĐL 80 - 100 - DL 120gms</t>
  </si>
  <si>
    <t>Tờ</t>
  </si>
  <si>
    <t>Giấy A1</t>
  </si>
  <si>
    <t>Giấy A2</t>
  </si>
  <si>
    <t>GIẤY IN ẢNH - KIM MAI - MẠNH HƯNG</t>
  </si>
  <si>
    <t>Giấy in ảnh 1 mặt Epson A4 (20 tờ/Tập)</t>
  </si>
  <si>
    <t>Giấy in ảnh 2 mặt Epson A4 (1 Tập*100 tờ)</t>
  </si>
  <si>
    <t>115g Giấy in ảnh 1 mặt A4 (1 Tập*100 tờ)</t>
  </si>
  <si>
    <t>115g Giấy in ảnh 1 mặt A3 (1 Tập*100 tờ)</t>
  </si>
  <si>
    <t>135g Giấy in ảnh 1 mặt A4 (1 Tập*100 tờ)</t>
  </si>
  <si>
    <t>135g Giấy in ảnh 1 mặt A3 (1 Tập*100 tờ)</t>
  </si>
  <si>
    <t>230g Giấy in ảnh 1 mặt A4 (1 Tập 50 tờ)</t>
  </si>
  <si>
    <t>230g Giấy in ảnh 1 mặt A3 (1 Tập 50 tờ)</t>
  </si>
  <si>
    <t>200g Ảnh 1 mặt hoa cúc A4  (1 Tập 20 tờ)</t>
  </si>
  <si>
    <t>200g Ảnh 1 mặt hoa cúc A3  (1 Tập 20 tờ)</t>
  </si>
  <si>
    <t>140g couche bóng 2 mặt A4</t>
  </si>
  <si>
    <t>160g couche bóng 2 mặt A4</t>
  </si>
  <si>
    <t>160g couche bóng 2 mặt A3</t>
  </si>
  <si>
    <t>200g couche bóng 2 mặt A4</t>
  </si>
  <si>
    <t>200g couche bóng 2 mặt A3</t>
  </si>
  <si>
    <t>260g couche bóng 2 mặt A4</t>
  </si>
  <si>
    <t>260g couche bóng 2 mặt A3</t>
  </si>
  <si>
    <t>300g couche bóng 2 mặt A4</t>
  </si>
  <si>
    <t>300g couche bóng 2 mặt A3</t>
  </si>
  <si>
    <t>135g Đề can Photo A4</t>
  </si>
  <si>
    <t>135g Đề can Photo A3</t>
  </si>
  <si>
    <t>220g có vân 2 mặt A4</t>
  </si>
  <si>
    <t>250g có vân 2 mặt A4</t>
  </si>
  <si>
    <t>GIẤY NOTE - GIẤY TRÌNH KÍ - GIẤY THAN - GIẤY ÉP PLASTIC</t>
  </si>
  <si>
    <t>Giấy nhắn 5 màu nhựa</t>
  </si>
  <si>
    <t xml:space="preserve">Giấy nhắn việc nice 3*2 </t>
  </si>
  <si>
    <t>Giấy nhắn việc nice 3*3</t>
  </si>
  <si>
    <t>Giấy nhắn việc nice 3*4</t>
  </si>
  <si>
    <t>Giấy nhắn việc nice 3*5</t>
  </si>
  <si>
    <t>Phân trang 5 mầu giấy Pronoti</t>
  </si>
  <si>
    <t>Phân trang Protoni Sign hình mũi tên</t>
  </si>
  <si>
    <t>Giấy note trình ký sign here deli A101</t>
  </si>
  <si>
    <t>Giấy than A4  100 tờ</t>
  </si>
  <si>
    <t>Giấy ép CMT - A7 125mic</t>
  </si>
  <si>
    <t>TQ</t>
  </si>
  <si>
    <t>Giấy ép Plastic A4 mỏng - 45mic</t>
  </si>
  <si>
    <t>Giấy ép Plastic A4 trung - 80mic</t>
  </si>
  <si>
    <t>Giấy ép Plastic A4 dày - 125mic</t>
  </si>
  <si>
    <t>Giấy ép Plastic A5 dày - 80mic</t>
  </si>
  <si>
    <t>Giấy ép Plastic A3 mỏng - 45mic</t>
  </si>
  <si>
    <t>Giấy ép Plastic A3 trung - 80mic</t>
  </si>
  <si>
    <t>Giấy ép Plastic A3 dày - 125mic</t>
  </si>
  <si>
    <t>BÌA, BÌA MICA ĐÓNG SỔ SÁCH</t>
  </si>
  <si>
    <t xml:space="preserve">Bìa mica A4 mỏng </t>
  </si>
  <si>
    <t xml:space="preserve">Bìa mica A4 trung </t>
  </si>
  <si>
    <t xml:space="preserve">Bìa mica A4 dày </t>
  </si>
  <si>
    <t>tập</t>
  </si>
  <si>
    <t xml:space="preserve">Bìa mica A3 trung </t>
  </si>
  <si>
    <t xml:space="preserve">Bìa mica A3 dày </t>
  </si>
  <si>
    <t>Decan A4 đế xanh (100 tờ/ tập) Xplus</t>
  </si>
  <si>
    <t>Decan A4 đế vàng (100 tờ/ tập) Xplus</t>
  </si>
  <si>
    <t>Decan A4 OJI Nhật (100 tờ/ tập)</t>
  </si>
  <si>
    <t>GIẤY TOMY A4 - TOMY A5</t>
  </si>
  <si>
    <t>Giấy decal Tomy A4 ( Cỡ từ 125 đến 149 )</t>
  </si>
  <si>
    <t>Giấy Decal Tomy A5 ( các cỡ 99 đến 124 )</t>
  </si>
  <si>
    <t>BÚT BI, BÚT DẠ BẢNG, BÚT DẤU DÒNG, BÚT XÓA</t>
  </si>
  <si>
    <t xml:space="preserve">Bút bi MG 4 màu </t>
  </si>
  <si>
    <t>chiếc</t>
  </si>
  <si>
    <t>Bút nước Thiên Long GEL 08</t>
  </si>
  <si>
    <t>Bút nước Gel Linc</t>
  </si>
  <si>
    <t>Bút nước Mimi Gel (12c/hộp)</t>
  </si>
  <si>
    <t>Bút nước Tizo TG310-B</t>
  </si>
  <si>
    <t xml:space="preserve">Bút nước chữ A Aihao </t>
  </si>
  <si>
    <t>Bút bi nước UB150 (12c/hộp)</t>
  </si>
  <si>
    <t>Bút bi Double A Alpine Nét 0.7mm</t>
  </si>
  <si>
    <t>Chiếc</t>
  </si>
  <si>
    <t>Bút bi TL 023, nét to</t>
  </si>
  <si>
    <t>Bút bi TL 025, nét to</t>
  </si>
  <si>
    <t>Bút bi TL 027, nét nhỏ</t>
  </si>
  <si>
    <t>Bút bi TL 024, nét to</t>
  </si>
  <si>
    <t>Bút bi  TL 079 nét nhỏ</t>
  </si>
  <si>
    <t>Bút bi  TL 036</t>
  </si>
  <si>
    <t>Bút bi Hồng Hà 2600</t>
  </si>
  <si>
    <t>Bút bi Cello</t>
  </si>
  <si>
    <t>Bút nến thiên long 093</t>
  </si>
  <si>
    <t>Bút bi Double A ( Hộp 12c )</t>
  </si>
  <si>
    <t>Bút đính bàn đôi PH 02</t>
  </si>
  <si>
    <t>Bút chì kim A255 xịn</t>
  </si>
  <si>
    <t>Bút chì Thiên Long GP020</t>
  </si>
  <si>
    <t>Bút chì Thiên Long GP 01</t>
  </si>
  <si>
    <t>Bút chì Thiên Long GP 05</t>
  </si>
  <si>
    <t>Bút chì Staler 134-1</t>
  </si>
  <si>
    <t>BÚT KÝ - BÚT NƯỚC PENTEL - BÚT VIẾT BẢNG - BÚT LÔNG DẦU</t>
  </si>
  <si>
    <t>Bút ký Pentel BL57 Xanh nét 0,7</t>
  </si>
  <si>
    <t>Bút ký Pentel BL57 Đỏ nét 0,7</t>
  </si>
  <si>
    <t>Bút ký Pentel BL57 Đen nét 0,7</t>
  </si>
  <si>
    <t>Bút ký Pentel BL60 Xanh nét 1,0</t>
  </si>
  <si>
    <t>Bút ký Pentel BL60 Đen nét 1,0</t>
  </si>
  <si>
    <t>Ruột bút ký Pentel BL57 đen</t>
  </si>
  <si>
    <t>Ruột bút ký Pentel BL57 Xanh</t>
  </si>
  <si>
    <t>Ruột bút ký Pentel BL57 đỏ</t>
  </si>
  <si>
    <t>Ruột bút ký Pentel BL60 Đen</t>
  </si>
  <si>
    <t>Ruột bút ký Pentel BL60 xanh</t>
  </si>
  <si>
    <t>Bút Baoke 1.0</t>
  </si>
  <si>
    <t>Bút chì kim  Cello 0,5mm</t>
  </si>
  <si>
    <t>Bút chì kim AX 255  0.5mm</t>
  </si>
  <si>
    <t>Bút UB-150 TQ</t>
  </si>
  <si>
    <t>Bút UB-150 nhật</t>
  </si>
  <si>
    <t xml:space="preserve">Bút UM 153 </t>
  </si>
  <si>
    <t>Bút sơn PX-20 - PX 21</t>
  </si>
  <si>
    <t>Bút lông bảng học sinh TL WB02</t>
  </si>
  <si>
    <t>Bút lông bảng TL WB03</t>
  </si>
  <si>
    <t>Bút lông dầu Thiên Long PM09</t>
  </si>
  <si>
    <t>Bút lông dầu Thiên Long  PM04</t>
  </si>
  <si>
    <t>Bút dạ quang TL HL03 (5c/vỉ)</t>
  </si>
  <si>
    <t>Bút dạ quang TL HL02  - Delli 9621</t>
  </si>
  <si>
    <t>Bút xóa Thiên Long CP02 dẹt</t>
  </si>
  <si>
    <t>Bút xóa Thiên Long CP05 tròn</t>
  </si>
  <si>
    <t>Băng xoá Plus WH 12mm</t>
  </si>
  <si>
    <t>Băng xoá Plus WH mini 7mm</t>
  </si>
  <si>
    <t>Gọt chì  Deli 0520 màu lẫn</t>
  </si>
  <si>
    <t>Gọt chì Deli 557 màu lẫn</t>
  </si>
  <si>
    <t>E0554_Gọt chì_Hình đĩa bay_Màu lẫn</t>
  </si>
  <si>
    <t>FILE LÁ, FILE LỒNG, CÀNG CUA, FILE HỘP</t>
  </si>
  <si>
    <t>File 10 lá Plus</t>
  </si>
  <si>
    <t>File 20 lá Plus</t>
  </si>
  <si>
    <t>File 40 lá Plus</t>
  </si>
  <si>
    <t>File 60 lá Plus</t>
  </si>
  <si>
    <t>File 80 lá Plus</t>
  </si>
  <si>
    <t>File 20 lá Double A</t>
  </si>
  <si>
    <t>File 40 lá Double A</t>
  </si>
  <si>
    <t>File 60 lá Double A</t>
  </si>
  <si>
    <t>File 30 lá</t>
  </si>
  <si>
    <t>Cặp 3 dây giấy 7cm</t>
  </si>
  <si>
    <t>Cặp 3 dây giấy 10 cm</t>
  </si>
  <si>
    <t>Cặp 3 dây giấy 15cm</t>
  </si>
  <si>
    <t>Cặp 3 dây nhựa  EKE</t>
  </si>
  <si>
    <t>File còng nhẫn  Plus</t>
  </si>
  <si>
    <t>File còng nhẫn Thiên Long 3cm</t>
  </si>
  <si>
    <t>File còng nhẫn Thiên Long 3,5cm</t>
  </si>
  <si>
    <t xml:space="preserve">File càng cua EKE 5cm </t>
  </si>
  <si>
    <t xml:space="preserve">File càng cua EKE 7cm </t>
  </si>
  <si>
    <t xml:space="preserve">File càng cua EKE 9cm </t>
  </si>
  <si>
    <t>File càng cua 5cm Plus</t>
  </si>
  <si>
    <t>File càng cua 7cm Plus</t>
  </si>
  <si>
    <t>File càng cuat 9cm Plus</t>
  </si>
  <si>
    <t>File càng cua KOKUYO A4 5cm</t>
  </si>
  <si>
    <t xml:space="preserve">File càng cua KOKUYO A,F4 7cm </t>
  </si>
  <si>
    <t xml:space="preserve">File càng cua KOKUYO A,F4 9cm </t>
  </si>
  <si>
    <t xml:space="preserve">File càng cua 10 cm Trà My </t>
  </si>
  <si>
    <t>File còng ống kingjim 3513</t>
  </si>
  <si>
    <t>File còng ống kingjim 3515</t>
  </si>
  <si>
    <t>Bìa Acco A4 PPFFA4 Thiên Long KHỔ a</t>
  </si>
  <si>
    <t>Bìa Report File - RFA4 TL Khổ F</t>
  </si>
  <si>
    <t>Cặp 2 khóa bìa mềm</t>
  </si>
  <si>
    <t>Cặp 2 khóa Trà My bìa cứng</t>
  </si>
  <si>
    <t>File hộp gấp simili  5cm</t>
  </si>
  <si>
    <t xml:space="preserve">File hộp  gấp  simil 7cm </t>
  </si>
  <si>
    <t xml:space="preserve">File hộp gấp  simil 10cm </t>
  </si>
  <si>
    <t xml:space="preserve">File hộp gấp  simil 15cm  </t>
  </si>
  <si>
    <t xml:space="preserve">File hộp  gấp  simil 20cm </t>
  </si>
  <si>
    <t xml:space="preserve">File hộp  gấp  simil 25cm </t>
  </si>
  <si>
    <t xml:space="preserve">File hộp  gấp  simil 30cm </t>
  </si>
  <si>
    <t>File hộp gấp nhựa 5cm TL - DELI</t>
  </si>
  <si>
    <t>File hộp  gấp nhựa 7cm TL - DELI</t>
  </si>
  <si>
    <t>File hộp gấp nhựa 10cm  TL - DELI</t>
  </si>
  <si>
    <t>File hộp gấp nhựa 15cm  TL - DELI</t>
  </si>
  <si>
    <t xml:space="preserve">Chia file bìa 1-10 </t>
  </si>
  <si>
    <t>Chia file bìa 1-12</t>
  </si>
  <si>
    <t>Chia file 1-31</t>
  </si>
  <si>
    <t>Bộ</t>
  </si>
  <si>
    <t>Bìa trình 2 mặt Thiên Long ( Chất liệu simili) CB01</t>
  </si>
  <si>
    <t>Bìa trình 2 mặt Thiên Long ( chất liệu nhựa ) CB03</t>
  </si>
  <si>
    <t>Trình ký A4 1 mặt nhựa CB02</t>
  </si>
  <si>
    <t>Trình ký A5 1 mặt nhựa TL</t>
  </si>
  <si>
    <t>Trình ký 2 mặt  EKE</t>
  </si>
  <si>
    <t>Trình ký da 8002</t>
  </si>
  <si>
    <t>Cặp xốp chun nhiều ngăn</t>
  </si>
  <si>
    <t>DẬP GHIM, ĐỤC LỖ, ĐẠN GHIM</t>
  </si>
  <si>
    <t>Dập ghim số 10 Plus</t>
  </si>
  <si>
    <t>Dập ghim số 10 Deli - 229</t>
  </si>
  <si>
    <t>Dập ghim số 10 Double A</t>
  </si>
  <si>
    <t>Dập ghim trung Delli 0391 (70 TỜ)</t>
  </si>
  <si>
    <t>Dập ghim đại Deli 0395 (240tr)</t>
  </si>
  <si>
    <t>Dập ghim Trio 50SA (100tr)</t>
  </si>
  <si>
    <t>Dập ghim đại Trio 50LA (240tr)</t>
  </si>
  <si>
    <t xml:space="preserve">Gỡ ghim </t>
  </si>
  <si>
    <t>Dập ghim xoay chiều 360 độ</t>
  </si>
  <si>
    <t>Kìm gỡ ghim 0593</t>
  </si>
  <si>
    <t>Đục 2 lỗ KW-Trio 912 ( 16 tờ)</t>
  </si>
  <si>
    <t>Đục 2 lỗ KW-Trio 978 ( 35 tờ )</t>
  </si>
  <si>
    <t>Đục 2 lỗ Deli 0130 (100 tờ )</t>
  </si>
  <si>
    <t>Đục 2 lỗ Deli 0150 (150 tờ )</t>
  </si>
  <si>
    <t>Đạn ghim số 10 plus</t>
  </si>
  <si>
    <t>Hộp</t>
  </si>
  <si>
    <t>Đạn ghim số Double A</t>
  </si>
  <si>
    <t>Đạn ghim số 3 plus</t>
  </si>
  <si>
    <t>Đạn ghim số 3 KW-Trio</t>
  </si>
  <si>
    <t>Đạn ghim 24/6 KW-Trio</t>
  </si>
  <si>
    <t>Đạn ghim 23/8 KW-Trio ( 50 tờ )</t>
  </si>
  <si>
    <t>Đạn ghim 23/10 KW-Trio ( 70 tờ )</t>
  </si>
  <si>
    <t>Đạn ghim 23/13 KW-Trio ( 100 tờ )</t>
  </si>
  <si>
    <t>Đạn ghim 23/15 KW-Trio ( 120 tờ )</t>
  </si>
  <si>
    <t>Đạn ghim 23/17 KW-Trio ( 140 tờ )</t>
  </si>
  <si>
    <t>Đạn ghim 23/20 KW-Trio ( 170 tờ )</t>
  </si>
  <si>
    <t>Đạn ghim 23/23 KW-Trio ( 200 tờ )</t>
  </si>
  <si>
    <t>Ghim cài C62</t>
  </si>
  <si>
    <t>Ghim Batos</t>
  </si>
  <si>
    <t>Ghim cài màu Deli 0022</t>
  </si>
  <si>
    <t>Đinh mũ ghim cắm bảng</t>
  </si>
  <si>
    <t>E7825_Nam châm gắn bảng_φ30mm_hộp</t>
  </si>
  <si>
    <t>vỉ</t>
  </si>
  <si>
    <t>E7824_Nam châm gắn bảng_φ20mm_hộp</t>
  </si>
  <si>
    <t>E7823_Nam châm gắn bảng_φ15mm_hộp</t>
  </si>
  <si>
    <t>Nam châm dính bảng plus</t>
  </si>
  <si>
    <t>viên</t>
  </si>
  <si>
    <t>Hộp đựng ghim nam châm Deli tròn</t>
  </si>
  <si>
    <t>Vỉ</t>
  </si>
  <si>
    <t>Thẻ đeo dọc 107 - 207</t>
  </si>
  <si>
    <t>Thẻ đeo ngang 108 208</t>
  </si>
  <si>
    <t>Bao đeo thẻ da</t>
  </si>
  <si>
    <t>Dây đeo thẻ móc nhựa</t>
  </si>
  <si>
    <t>TÚI HỒ SƠ</t>
  </si>
  <si>
    <t>Túi một  khuy ( Túi Clear ) A mỏng  ( Tập 20c )</t>
  </si>
  <si>
    <t>Túi một khuy ( Túi Clear ) A trung ( Tập 20c )</t>
  </si>
  <si>
    <t>Túi một khuy ( Túi Clear ) A dày ( Tập 20c )</t>
  </si>
  <si>
    <t>Túi một khuy ( Túi Clear ) khổ F ( Tập 20c )</t>
  </si>
  <si>
    <t>Túi hồ sơ F118 có đáy</t>
  </si>
  <si>
    <t>Túi hồ sơ F119 có đáy</t>
  </si>
  <si>
    <t>File hở 2 cạnh Plus F4 HO 171</t>
  </si>
  <si>
    <t>File hở 2 cạnh Plus A4 HO161</t>
  </si>
  <si>
    <t>Hồ sơ xin việc</t>
  </si>
  <si>
    <t>Túi hồ sơ giấy</t>
  </si>
  <si>
    <t>Túi hồ sơ giấy có đáy</t>
  </si>
  <si>
    <t>Sơ mi lỗ Double A ( Tập 10c )</t>
  </si>
  <si>
    <t>Sơ mi lỗ Plus (10t/tập) ( Tập 100c )</t>
  </si>
  <si>
    <t>Sơ mi lỗ mỏng 3c ( Tập 100c )</t>
  </si>
  <si>
    <t>Sơ mi lỗ  trung 4c ( Tập 100c )</t>
  </si>
  <si>
    <t>Sơ mi lỗ dày 6c ( Tập 100c )</t>
  </si>
  <si>
    <t>SỔ BÌA CỨNG, BÌA DA</t>
  </si>
  <si>
    <t>Sổ bìa cứng A5 bằng đầu</t>
  </si>
  <si>
    <t>Quyển</t>
  </si>
  <si>
    <t xml:space="preserve">Sổ bìa cứng A5  thừa đầu </t>
  </si>
  <si>
    <t>Sổ bìa cứng A4 bằng đầu 240trang HT</t>
  </si>
  <si>
    <t>Sổ bìa cứng A4  thừa đầu 240trang HT</t>
  </si>
  <si>
    <t>Sổ bìa cứng A3 Ngang 240 trang HT</t>
  </si>
  <si>
    <t>Sổ bìa da  B6 - 160tr</t>
  </si>
  <si>
    <t>Sổ bìa da  B6 - 240tr</t>
  </si>
  <si>
    <t>Sổ Business 8 240 tr</t>
  </si>
  <si>
    <t>Sổ bìa da mềm Clasic C8 240TR</t>
  </si>
  <si>
    <t>Sổ da khuy bấm KH6 Hải Tiến</t>
  </si>
  <si>
    <t>Sổ da khuy bấm KC8 Hải Tiến</t>
  </si>
  <si>
    <t>Sổ da khuy bấm Meeting 8 Hải Tiến</t>
  </si>
  <si>
    <t>Sổ da  Hettoon</t>
  </si>
  <si>
    <t>Sổ bìa 6 lỗ  Hettoon bìa da cao cấp</t>
  </si>
  <si>
    <t>Sổ kế toán A4 KT 200 trang</t>
  </si>
  <si>
    <t>Sổ bìa da còng_100 trang_Màu đen B5</t>
  </si>
  <si>
    <t>Sổ bìa da còng_100 trang_Màu đen A5</t>
  </si>
  <si>
    <t>Sổ kế toán A4 KT 320 trang</t>
  </si>
  <si>
    <t xml:space="preserve">Sổ lò xo A4 dày </t>
  </si>
  <si>
    <t>Sổ lò xo A4 mỏng</t>
  </si>
  <si>
    <t>Sổ lò xo A5 dày 200tr</t>
  </si>
  <si>
    <t>Sổ lò xo A5 dày 100tr</t>
  </si>
  <si>
    <t>Sổ lò xo A6 200tr</t>
  </si>
  <si>
    <t>Sổ lò xo A7 dày HT</t>
  </si>
  <si>
    <t>Sổ  đựng card mỏng</t>
  </si>
  <si>
    <t>Sổ  đựng card dày</t>
  </si>
  <si>
    <t>Giấy giới thiệu mỏng</t>
  </si>
  <si>
    <t>Giấy giới thiệu dày</t>
  </si>
  <si>
    <t>Sổ quỹ tiền mặt</t>
  </si>
  <si>
    <t>Sổ công văn đi 240 trang HT</t>
  </si>
  <si>
    <t>Sổ công văn đến 240 trang HT</t>
  </si>
  <si>
    <t>Phiếu chi 1 liên A5</t>
  </si>
  <si>
    <t>Phiếu thu 1 liên A5</t>
  </si>
  <si>
    <t>Phiếu nhập kho 1 liên A5</t>
  </si>
  <si>
    <t>Phiếu xuất kho 1 liên A5</t>
  </si>
  <si>
    <t>Hóa đơn bán lẻ A5</t>
  </si>
  <si>
    <t>Phiếu chi 2 liên A5</t>
  </si>
  <si>
    <t>Phiếu thu 2 liên A5</t>
  </si>
  <si>
    <t>Phiếu nhập kho 2 liên A5</t>
  </si>
  <si>
    <t>Phiếu xuất kho 2 liên A5</t>
  </si>
  <si>
    <t>Phiếu chi 3 liên A5</t>
  </si>
  <si>
    <t>Phiếu thu 3 liên A5</t>
  </si>
  <si>
    <t>Phiếu nhập kho 3 liên A5</t>
  </si>
  <si>
    <t>Phiếu xuất kho 3 liên A5</t>
  </si>
  <si>
    <t>Phiếu nhập kho 2 liên A4</t>
  </si>
  <si>
    <t>Phiếu xuất kho 2 liên A4</t>
  </si>
  <si>
    <t>Phiếu nhập kho 3 liên A4</t>
  </si>
  <si>
    <t>Phiếu xuất kho 3 liên A4</t>
  </si>
  <si>
    <t>Card case A3 dày</t>
  </si>
  <si>
    <t>Việt Nam</t>
  </si>
  <si>
    <t>Card case A3 mỏng</t>
  </si>
  <si>
    <t>Card case A4 dày -</t>
  </si>
  <si>
    <t>Card case A4 mỏng</t>
  </si>
  <si>
    <t>BĂNG DÍNH CÁC LOẠI</t>
  </si>
  <si>
    <t>Băng dính giấy 1cm</t>
  </si>
  <si>
    <t>Băng dính giấy 2cm</t>
  </si>
  <si>
    <t>Băng dính giấy 5cm dày</t>
  </si>
  <si>
    <t>Băng dính 2 mặt 1cm dày</t>
  </si>
  <si>
    <t>Băng dính 2 mặt 2cm dày</t>
  </si>
  <si>
    <t>Băng dính 2 mặt 5cm dày</t>
  </si>
  <si>
    <t>Băng dính 2 mặt 5cm</t>
  </si>
  <si>
    <t>Băng dính VP nhỏ 1.8cm</t>
  </si>
  <si>
    <t>Băng dính 80Y</t>
  </si>
  <si>
    <t>Băng dính 120Y trong/đục</t>
  </si>
  <si>
    <t>Băng dính 150Y trong/đục/ cây</t>
  </si>
  <si>
    <t>Băng dính 200Y trong/đục/ cây</t>
  </si>
  <si>
    <t>Băng dính 500Y trong/đục/ cây</t>
  </si>
  <si>
    <t>Băng dính 3,0kg trong/đục/cây</t>
  </si>
  <si>
    <t>Băng dính 1kg /cuộn trong/đục</t>
  </si>
  <si>
    <t>Cắt băng dính (băng keo) 5cm 200 dài</t>
  </si>
  <si>
    <t>Cắt băng dính (băng keo) 5cm Dân Hoa ngắn</t>
  </si>
  <si>
    <t>Cắt băng dính (băng keo) 2cm</t>
  </si>
  <si>
    <t>Cắt băng dính giấy</t>
  </si>
  <si>
    <t>Băng dính dán giá</t>
  </si>
  <si>
    <t>Băng dính Xi 3.6cm dày 18m</t>
  </si>
  <si>
    <t>Băng dính Xi 5 cm dày 18m</t>
  </si>
  <si>
    <t>Băng dính Xi 7cm dày 18m</t>
  </si>
  <si>
    <t>Băng dính Xi 3.6cm 11m</t>
  </si>
  <si>
    <t>Băng dính Xi 5cm 11m</t>
  </si>
  <si>
    <t>Băng dính Xi 7cm 11m</t>
  </si>
  <si>
    <t>Băng dính Xi 3.6cm 5m</t>
  </si>
  <si>
    <t>Băng dính Xi 5cm 5m</t>
  </si>
  <si>
    <t>Băng dính Xi 7cm 5m</t>
  </si>
  <si>
    <t>MỰC DẤU</t>
  </si>
  <si>
    <t>Mực dấu Shinny xanh</t>
  </si>
  <si>
    <t>Lọ</t>
  </si>
  <si>
    <t>Mực dấu Shinny đỏ</t>
  </si>
  <si>
    <t>Mực dấu Shinny đen</t>
  </si>
  <si>
    <t>Mực dấu Trodat đỏ</t>
  </si>
  <si>
    <t>Mực dấu Trodat xanh</t>
  </si>
  <si>
    <t>DAO TRỔ, KÉO, KẸP, HỒ DÁN</t>
  </si>
  <si>
    <t>Kéo văn phòng 180 mm</t>
  </si>
  <si>
    <t>Kéo văn phòng 210 mm</t>
  </si>
  <si>
    <t>Kéo Trung Quốc</t>
  </si>
  <si>
    <t xml:space="preserve">Kẹp clip đen 15mm </t>
  </si>
  <si>
    <t xml:space="preserve">Kẹp clip đen 19mm </t>
  </si>
  <si>
    <t xml:space="preserve">Kẹp clip đen 25mm </t>
  </si>
  <si>
    <t>Kẹp clip đen 32mm</t>
  </si>
  <si>
    <t xml:space="preserve">Kẹp clip đen 41mm </t>
  </si>
  <si>
    <t xml:space="preserve">Kẹp clip đen 51mm </t>
  </si>
  <si>
    <t>Kẹp sắt màu  15mm</t>
  </si>
  <si>
    <t>Kẹp sắt màu  19mm</t>
  </si>
  <si>
    <t>Kẹp sắt màu  25mm</t>
  </si>
  <si>
    <t>Kẹp sắt màu  32mm</t>
  </si>
  <si>
    <t>Kẹp sắt màu  41mm</t>
  </si>
  <si>
    <t>Kẹp sắt màu  51mm</t>
  </si>
  <si>
    <t>Dao trổ nhỏ SDI</t>
  </si>
  <si>
    <t>Dao trổ to SDI</t>
  </si>
  <si>
    <t>Dao trổ nhỏ Deli 2034</t>
  </si>
  <si>
    <t>Dao trổ to Deli 2042</t>
  </si>
  <si>
    <t>Dao trổ to Deli 2043</t>
  </si>
  <si>
    <t>Lưỡi dao trổ nhỏ SDI (10 lưỡi/ hộp)</t>
  </si>
  <si>
    <t>hộp</t>
  </si>
  <si>
    <t>Lưỡi dao trổ to SDI (10 lưỡi/ hộp)</t>
  </si>
  <si>
    <t>Lưỡi dao trổ Delli  SK5 nhỏ (10 lưỡi/ hộp) 2012</t>
  </si>
  <si>
    <t>Lưỡi dao trổ Delli  SK5 to (10 lưỡi/ hộp) 2011</t>
  </si>
  <si>
    <t>Hồ nước Thiên long</t>
  </si>
  <si>
    <t>lọ</t>
  </si>
  <si>
    <t>Hồ khô Double A</t>
  </si>
  <si>
    <t xml:space="preserve"> KHAY BÚT, KHAY TÀI LIỆU</t>
  </si>
  <si>
    <t>Khay Cắm Bút Xoay Thiên Long FlexOffice FO-PS02</t>
  </si>
  <si>
    <t>Hộp đựng bút 904 Deli</t>
  </si>
  <si>
    <t>Hộp đựng bút sắt delli - 9172</t>
  </si>
  <si>
    <t>Hộp đựng  906 Deli</t>
  </si>
  <si>
    <t>Hộp đựng  9147 Deli</t>
  </si>
  <si>
    <t>Hộp đựng bút Delli 220</t>
  </si>
  <si>
    <t>Khay để tài liệu mica 3 tầng HR</t>
  </si>
  <si>
    <t>Khay để tài liệu mica 3 tầng deli</t>
  </si>
  <si>
    <t>Giá để tài liệu nhựa 3 tầng TQ</t>
  </si>
  <si>
    <t>Giá để tài liệu nhựa 3 tầng thường</t>
  </si>
  <si>
    <t>Giá để tài liệu nhựa 3 tầng đẹp</t>
  </si>
  <si>
    <t>Giá để tài liệu nhựa 3 tầng deli 9217 chân sắt</t>
  </si>
  <si>
    <t>File nan 3 ngăn Deli 9845</t>
  </si>
  <si>
    <t>File nan 3 ngăn thường</t>
  </si>
  <si>
    <t>File nan 4 ngăn Deli 9846</t>
  </si>
  <si>
    <t xml:space="preserve">File nan 1 ngăn </t>
  </si>
  <si>
    <t>ĐĨA CD, DVD GHI DỮ LIỆU</t>
  </si>
  <si>
    <t>Chun vòng túi to 1.3g</t>
  </si>
  <si>
    <t>Túi</t>
  </si>
  <si>
    <t>Chun vòng túi to 500g</t>
  </si>
  <si>
    <t>Đĩa VCD</t>
  </si>
  <si>
    <t>Đĩa CD</t>
  </si>
  <si>
    <t>Vỏ đĩa xốp</t>
  </si>
  <si>
    <t>Vỏ đĩa nhựa</t>
  </si>
  <si>
    <t>MÁY TÍNH, PIN, PHONG BÌ THƯ</t>
  </si>
  <si>
    <t>Máy tính Casio DF120FM ( Bảo hành 7 năm tại hãng )</t>
  </si>
  <si>
    <t>Máy tính Casio AX12B  ( Bảo hành 7 năm tại hãng )</t>
  </si>
  <si>
    <t>Máy tính Casio AX120B  ( Bảo hành 7 năm tại hãng )</t>
  </si>
  <si>
    <t>Máy tính casio  FX-570VN Plus</t>
  </si>
  <si>
    <t>FX-580VNX-BK,BU,PK</t>
  </si>
  <si>
    <t>Máy tính Thiên Long ST 03S ( Bảo hành 12 tháng )</t>
  </si>
  <si>
    <t>Thiên Long</t>
  </si>
  <si>
    <t>Máy tính LX - 403TV</t>
  </si>
  <si>
    <t>Nhật</t>
  </si>
  <si>
    <t>Thanh cài Acco nhựa</t>
  </si>
  <si>
    <t>Thanh cài Acco sắt</t>
  </si>
  <si>
    <r>
      <rPr>
        <sz val="11"/>
        <rFont val="Times New Roman"/>
        <charset val="134"/>
      </rPr>
      <t xml:space="preserve">Phong bì A4 trắng ĐL100 </t>
    </r>
    <r>
      <rPr>
        <b/>
        <sz val="11"/>
        <rFont val="Times New Roman"/>
        <charset val="134"/>
      </rPr>
      <t xml:space="preserve"> </t>
    </r>
    <r>
      <rPr>
        <sz val="11"/>
        <rFont val="Times New Roman"/>
        <charset val="134"/>
      </rPr>
      <t>( Tập 100c</t>
    </r>
    <r>
      <rPr>
        <b/>
        <sz val="11"/>
        <rFont val="Times New Roman"/>
        <charset val="134"/>
      </rPr>
      <t>)</t>
    </r>
  </si>
  <si>
    <t>Phong bì A5 trắng ĐL100 ( Tập 100c)</t>
  </si>
  <si>
    <t>Phong bì A6 22*12 (Tập 100c) dán keo</t>
  </si>
  <si>
    <t>Phong bì A6 22*12 (Tập 100c) dán băng dính 2 mặt</t>
  </si>
  <si>
    <t>Phong bì thư đẹp (100C/tâp)</t>
  </si>
  <si>
    <t xml:space="preserve">Pin đũa AAA Energizer </t>
  </si>
  <si>
    <t>Đôi</t>
  </si>
  <si>
    <t>Pin tiểu AA Energizer</t>
  </si>
  <si>
    <t>Pin đũa AA Double A chính hãng</t>
  </si>
  <si>
    <t>Pin đũa AAA Double A chính hãng</t>
  </si>
  <si>
    <t>Pin đũa Panasonic chính hãng</t>
  </si>
  <si>
    <t>Pin tiểu Panasonic AA</t>
  </si>
  <si>
    <t>Pin đũa Panasonic AAA</t>
  </si>
  <si>
    <t xml:space="preserve">Pin đũa AAA Double A chính hãng </t>
  </si>
  <si>
    <t>Pin tiểu con thỏ</t>
  </si>
  <si>
    <t>Rút gáy nhỏ Deli 5532</t>
  </si>
  <si>
    <t>Rút gáy Plus</t>
  </si>
  <si>
    <t>Tẩy Delli 3042</t>
  </si>
  <si>
    <t>Tẩy thiên long E05</t>
  </si>
  <si>
    <t>Tẩy thiên long E06</t>
  </si>
  <si>
    <t>Thước kẻ mica  20cm</t>
  </si>
  <si>
    <t>Thước kẻ mica  30cm</t>
  </si>
  <si>
    <t>Thước kẻ mica  50cm</t>
  </si>
  <si>
    <t>Mút đếm tiền</t>
  </si>
  <si>
    <t>Lau bảng mặt nhung</t>
  </si>
  <si>
    <t xml:space="preserve">NHÓM LÒ XO NHỰA </t>
  </si>
  <si>
    <t>Lò xo xoắn 6mm (1h*100 Cái)</t>
  </si>
  <si>
    <t>Lò xo xoắn 8mm (1h*100 Cái)</t>
  </si>
  <si>
    <t>Lò xo xoắn 10mm (1h*100 Cái)</t>
  </si>
  <si>
    <t>Lò xo xoắn 12mm (1h*100 Cái)</t>
  </si>
  <si>
    <t>Lò xo xoắn 14mm (1h*100 Cái)</t>
  </si>
  <si>
    <t>Lò xo xoắn 16mm (1h*100 Cái)</t>
  </si>
  <si>
    <t>Lò xo xoắn 18mm (1h*100 Cái)</t>
  </si>
  <si>
    <t>Lò xo xoắn 20mm (1h*100 Cái)</t>
  </si>
  <si>
    <t>Lò xo xoắn 22mm (1h*50 Cái)</t>
  </si>
  <si>
    <t>Lò xo xoắn 25mm (1h*50 Cái)</t>
  </si>
  <si>
    <t>Lò xo xoắn 28mm (1h*50 Cái)</t>
  </si>
  <si>
    <t>Lò xo xoắn 32mm (1h*50 Cái)</t>
  </si>
  <si>
    <t>Lò xo xoắn 35mm (1h*50 Cái)</t>
  </si>
  <si>
    <t>Lò xo xoắn 38mm (1h*50 Cái)</t>
  </si>
  <si>
    <t>Lò xo xoắn 45mm (1h*50 Cái)</t>
  </si>
  <si>
    <t>Lò xo xoắn 51mm (1h*50 Cái)</t>
  </si>
  <si>
    <t>TẠP PHẨM</t>
  </si>
  <si>
    <t>Giấy vệ sinh Watersilk (12 cuộn/dây)</t>
  </si>
  <si>
    <t>dây</t>
  </si>
  <si>
    <t>Giấy vệ sinh Hà nội xanh (10 cuộn /dây)</t>
  </si>
  <si>
    <t>Giấy khăn hộp Watersilk</t>
  </si>
  <si>
    <t>Giấy khăn rút Watersilk 200 tờ</t>
  </si>
  <si>
    <t>Bịch</t>
  </si>
  <si>
    <t>Giấy ướt mamamy to 100 tờ</t>
  </si>
  <si>
    <t>Giấy ướt mamamy nhỏ 15 tờ</t>
  </si>
  <si>
    <t xml:space="preserve">Túi đựng rác đen 5 kg </t>
  </si>
  <si>
    <t>kg</t>
  </si>
  <si>
    <t xml:space="preserve">Túi đựng rác đen 10 kg </t>
  </si>
  <si>
    <t xml:space="preserve">Túi đựng rác đen 15 kg </t>
  </si>
  <si>
    <t xml:space="preserve">Túi đựng rác đen 20 kg </t>
  </si>
  <si>
    <t xml:space="preserve">Túi đựng rác đen 25 kg </t>
  </si>
  <si>
    <t>Túi đựng rác xanh, vàng, trắng 5 kg</t>
  </si>
  <si>
    <t>Túi đựng rác xanh, vàng, trắng 10 kg</t>
  </si>
  <si>
    <t>Túi đựng rác xanh, vàng, trắng 15 kg</t>
  </si>
  <si>
    <t>Túi đựng rác xanh, vàng, trắng 20 kg</t>
  </si>
  <si>
    <t xml:space="preserve">Túi đựng cuộn </t>
  </si>
  <si>
    <t>COMBO SẢN PHẨM ĐỒ UỐNG - HOÁ MỸ PHẨM PHỤC VỤ KHÔNG GIAN VĂN PHÒNG</t>
  </si>
  <si>
    <t>Nước lau sàn Gift 1L</t>
  </si>
  <si>
    <t>chai</t>
  </si>
  <si>
    <t xml:space="preserve">Nước rửa chén Sunlight 750 ml </t>
  </si>
  <si>
    <t xml:space="preserve">Nước rửa chén Sunlight 950ml </t>
  </si>
  <si>
    <t>Nước tẩy VS gift 700ml - 900ml</t>
  </si>
  <si>
    <t>Nước lau kính  gift 580ml</t>
  </si>
  <si>
    <t>Nước lau kính  gift 800ml</t>
  </si>
  <si>
    <t>Nước lau kính  gift 3.8kg</t>
  </si>
  <si>
    <t xml:space="preserve">Nước lau sàn Gift 3.8KG - các mùi lily, chanh, bạc hà </t>
  </si>
  <si>
    <t>Can</t>
  </si>
  <si>
    <t>Xà phòng Lifebouy rủa tay có vòi 120 ml</t>
  </si>
  <si>
    <t>Xà phòng Lifebouy rủa tay có vòi 500 ml</t>
  </si>
  <si>
    <t>Nước rửa tay sạch khuẩn Dr Clean 160g</t>
  </si>
  <si>
    <t>Sáp thơm Ami các mùi - khử mùi vệ sinh</t>
  </si>
  <si>
    <t xml:space="preserve">Sáp thơm phòng OASIS- ĐUỔ MUỖI </t>
  </si>
  <si>
    <t xml:space="preserve">Tinh dầu khử mùi daily fresh  - Thơm phòng lavender - cam, xả , sakura </t>
  </si>
  <si>
    <t>Chai xịt thơm phòng  - Ami - các mùi</t>
  </si>
  <si>
    <t>Chai xịt thơm phòng  - OASIS - các mùi</t>
  </si>
  <si>
    <t>Gói</t>
  </si>
  <si>
    <t>Viên tẩy khử mùi bồn cầu  2V/vi</t>
  </si>
  <si>
    <t xml:space="preserve">Vỉ </t>
  </si>
  <si>
    <t>SẢN PHẨM ĐỒ UỐNG VĂN PHÒNG</t>
  </si>
  <si>
    <t>Trà Hương (Táo, Quế, Xoài, Vải, Mãng Cầu, Hạt Dẻ, Hồng Trà, Ô long) - nhãn hiệu Cozy</t>
  </si>
  <si>
    <t>Trà Hương (Dâu, Đào, Bạc Hà)-nhãn hiệu Cozy</t>
  </si>
  <si>
    <t>Trà Hương Nhài-nhãn hiệu Cozy</t>
  </si>
  <si>
    <t>Trà (Xanh Thái Nguyên, Hương Sen)-nhãn hiệu Cozy</t>
  </si>
  <si>
    <t>Trà Hương Đào(nhãn hiệu Cozy)</t>
  </si>
  <si>
    <t xml:space="preserve"> Hồng Trà(nhãn hiệu Cozy)</t>
  </si>
  <si>
    <t>Trà ( Hương Chanh, Hương Đào, Sâm Bí Đao,Chanh Dây, Vải, Chanh Hương Nhài, Dâu, Ổi Hồng)- Cozy Ice Tea</t>
  </si>
  <si>
    <t>CHỔI, CÂY LAU NHÀ CÁC LOẠI</t>
  </si>
  <si>
    <t>Chổi  cước cán dài đẹp</t>
  </si>
  <si>
    <t>Chổi cọ sàn đứng inox</t>
  </si>
  <si>
    <t>Chổi quét máy vi tính</t>
  </si>
  <si>
    <t>Chuột máy tính có dây</t>
  </si>
  <si>
    <t>Chuột máy tính không dây</t>
  </si>
  <si>
    <t>Bàn phím máy tính có dây</t>
  </si>
  <si>
    <t>Chổi cọ toilet tròn</t>
  </si>
  <si>
    <t>cái</t>
  </si>
  <si>
    <t>Cây lau nhà vắt tay</t>
  </si>
  <si>
    <t>Bộ xoay cây lau nhà 360</t>
  </si>
  <si>
    <t>Sọt rác có quai</t>
  </si>
  <si>
    <t>Hót rác cán dài</t>
  </si>
  <si>
    <t>Hót rác nhựa</t>
  </si>
  <si>
    <t>Thùng rác đạp chân</t>
  </si>
  <si>
    <t>Ổ cắm điện Lioa 6 chấu 3D-3S</t>
  </si>
  <si>
    <t>Ổ cắm điện Lioa 6 chấu dài</t>
  </si>
  <si>
    <t xml:space="preserve">BẢNG TỪ TRẮNG - BẢNG GHIM </t>
  </si>
  <si>
    <t>EV31-VN_Bảng trắng_1200*800 mm_Màu bạc</t>
  </si>
  <si>
    <t>EV30-VN_Bảng trắng_1000*600mm_Màu bạc</t>
  </si>
  <si>
    <t>EV29-VN_Bảng trắng_800*600 mm_Màu bạc</t>
  </si>
  <si>
    <t>EV28-VN_Bảng trắng_600*400 mm_Màu bạc</t>
  </si>
  <si>
    <t>Bảng Flip Chart 0.6m*0.9m</t>
  </si>
  <si>
    <t>Bảng Flip Chart 0.9m*1.2m</t>
  </si>
  <si>
    <t>BẢO HỘ LAO ĐỘNG</t>
  </si>
  <si>
    <t>Cốc giấy</t>
  </si>
  <si>
    <t xml:space="preserve">Găng tay cao su dài </t>
  </si>
  <si>
    <t xml:space="preserve">Găng tay cao su ngắn </t>
  </si>
  <si>
    <t>Găng tay sợi</t>
  </si>
  <si>
    <t>Găng tay nilong</t>
  </si>
  <si>
    <t xml:space="preserve">Khăn mặt </t>
  </si>
  <si>
    <t>Khăn trắng vuông</t>
  </si>
  <si>
    <t>Túi miết (Túi Ziper) 4x6 (số 0)</t>
  </si>
  <si>
    <t>Túi miết (Túi Ziper) 5x7(số 1)</t>
  </si>
  <si>
    <t>Túi miết (Túi Ziper) 6x8 (số 2)</t>
  </si>
  <si>
    <t>Túi miết (Túi Ziper) 7x10 (số 3)</t>
  </si>
  <si>
    <t>Túi miết (Túi Ziper) 8x12 (số 4)</t>
  </si>
  <si>
    <t>Túi miết (Túi Ziper) 10x14 (số 5)</t>
  </si>
  <si>
    <t>Túi miết (Túi Ziper) 12x17 (số 6)</t>
  </si>
  <si>
    <t>Túi miết (Túi Ziper) 14x20 (số 7)</t>
  </si>
  <si>
    <t>Túi miết (Túi Ziper) 17x24 (số 8)</t>
  </si>
  <si>
    <t>Túi miết (Túi Ziper) 20x28 (số 9)</t>
  </si>
  <si>
    <t>Túi miết (Túi Ziper) 24x34 (số 10)</t>
  </si>
  <si>
    <t>Túi miết (Túi Ziper) 28x40 (số 11)</t>
  </si>
  <si>
    <t>Túi miết (Túi Ziper) 34x45 (số 12)</t>
  </si>
  <si>
    <t xml:space="preserve">CÔNG TY TNHH NK NAM KHÁNH </t>
  </si>
  <si>
    <t>Địa chỉ ( Address):  Khu X1, Thôn Nguyên Khê  - Xã Phúc Thịnh - TP.Hà Nội</t>
  </si>
  <si>
    <t>Mã số thuế : 0108910572</t>
  </si>
  <si>
    <t>Số điện thoại : 0766.088.886      - Gmail : phankhanhfj@gmail.com</t>
  </si>
  <si>
    <t>BẢNG BÁO GIÁ</t>
  </si>
  <si>
    <t>Số : BG00001</t>
  </si>
  <si>
    <t>Ngày 26 tháng 02 năm 2026</t>
  </si>
  <si>
    <t>Kính gửi</t>
  </si>
  <si>
    <t>CÔNG TY TNHH SD VIỆT NAM</t>
  </si>
  <si>
    <t>Người đại diện :</t>
  </si>
  <si>
    <t>Số điện thoại</t>
  </si>
  <si>
    <t>Địa chỉ : Lô H2a, khu công nghiệp Thăng Long, Xã Thiên Lộc, TP Hà Nội, Việt Nam</t>
  </si>
  <si>
    <t>Công ty TNHH NK Nam Khánh xin gửi tới quý Công ty bảng báo giá mặt hàng sau</t>
  </si>
  <si>
    <t xml:space="preserve"> Loại tiền/  Vnđ</t>
  </si>
  <si>
    <t xml:space="preserve">Stt </t>
  </si>
  <si>
    <t xml:space="preserve">Mã hàng </t>
  </si>
  <si>
    <t xml:space="preserve">Tên hàng hóa, dịch vụ </t>
  </si>
  <si>
    <t xml:space="preserve">Số lượng </t>
  </si>
  <si>
    <t>Thành tiền</t>
  </si>
  <si>
    <t>Tổng cộng tiền hàng</t>
  </si>
  <si>
    <t>Thuế VAT</t>
  </si>
  <si>
    <t xml:space="preserve">Tổng tiền thanh toán </t>
  </si>
  <si>
    <t xml:space="preserve">Bằng chữ : </t>
  </si>
  <si>
    <t>Ghi chú:</t>
  </si>
  <si>
    <t>* Hàng hoá bảo hành theo tiêu chuẩn chính hãng</t>
  </si>
  <si>
    <t>* Báo giá có hiệu lực kể từ ngày ký đến khi có thông báo mới</t>
  </si>
  <si>
    <t>* Miễn phí vận chuyển tại nội thành Hà Nội và Đông Anh, Mê linh ,Sóc Sơn</t>
  </si>
  <si>
    <t>* Đơn giá chưa bao gồm VAT</t>
  </si>
  <si>
    <t xml:space="preserve">  Công ty NHH NK Nam Khánh                                                                                                      Khách hàng </t>
  </si>
  <si>
    <t xml:space="preserve">         ( Ký tên đóng dấu)                                                                                                              ( Ký tên đóng dấu)</t>
  </si>
  <si>
    <t xml:space="preserve">ĐƠN HÀNG </t>
  </si>
  <si>
    <t>Số : DH00001</t>
  </si>
  <si>
    <t>Công ty TNHH NK Nam Khánh xin gửi tới quý Công ty bảng đơn hàng sau</t>
  </si>
  <si>
    <t xml:space="preserve">    Công ty NHH NK Nam Khánh                                                                                                  Khách hàng </t>
  </si>
  <si>
    <t xml:space="preserve">          ( Ký tên đóng dấu)                                                                                                          ( Ký tên đóng dấu)</t>
  </si>
  <si>
    <t xml:space="preserve">CỘNG HÒA XÃ HỘI CHỦ NGHĨA VIỆT NAM </t>
  </si>
  <si>
    <t xml:space="preserve">Độc lập - Tự do - Hạnh Phúc </t>
  </si>
  <si>
    <t>BIÊN BẢN GIAO HÀNG</t>
  </si>
  <si>
    <t xml:space="preserve">Hôm nay ngày ........ Tháng ....... Năm 2026 tại ….................................................chúng tôi gồm có </t>
  </si>
  <si>
    <t xml:space="preserve">Bên A ( Bên giao hàng) : Công ty TNHH NK Nam Khánh </t>
  </si>
  <si>
    <t>MST (Tax code) : 0108910572</t>
  </si>
  <si>
    <t xml:space="preserve">Số điện thoại ( Tel): 0766.088.886 </t>
  </si>
  <si>
    <r>
      <rPr>
        <sz val="14"/>
        <color theme="1"/>
        <rFont val="Times New Roman"/>
        <charset val="134"/>
      </rPr>
      <t xml:space="preserve">Đại diện : Ông /Bà:     </t>
    </r>
    <r>
      <rPr>
        <b/>
        <sz val="14"/>
        <color theme="1"/>
        <rFont val="Times New Roman"/>
        <charset val="134"/>
      </rPr>
      <t xml:space="preserve"> Nguyễn Thị Hằng   </t>
    </r>
    <r>
      <rPr>
        <sz val="14"/>
        <color theme="1"/>
        <rFont val="Times New Roman"/>
        <charset val="134"/>
      </rPr>
      <t xml:space="preserve">   </t>
    </r>
    <r>
      <rPr>
        <b/>
        <sz val="14"/>
        <color theme="1"/>
        <rFont val="Times New Roman"/>
        <charset val="134"/>
      </rPr>
      <t xml:space="preserve">   </t>
    </r>
    <r>
      <rPr>
        <sz val="14"/>
        <color theme="1"/>
        <rFont val="Times New Roman"/>
        <charset val="134"/>
      </rPr>
      <t xml:space="preserve">                   Chức vụ  : Thủ Kho    </t>
    </r>
  </si>
  <si>
    <t xml:space="preserve">Bên B ( Bên nhận hàng) </t>
  </si>
  <si>
    <t>Công ty Tnhh SDV</t>
  </si>
  <si>
    <t xml:space="preserve">Địa chỉ : </t>
  </si>
  <si>
    <t>Người đại diện….........................…..............................................................................................................................</t>
  </si>
  <si>
    <t>Chức vụ: …..............................................................................................…..................................................................</t>
  </si>
  <si>
    <t>Chúng tôi  thống nhất giao và nhận hàng hóa, với quy cách, chủng loại và số lượng như sau:</t>
  </si>
  <si>
    <t>Stt (Sn)</t>
  </si>
  <si>
    <t>Mã hàng (Item Code)</t>
  </si>
  <si>
    <t>Tên hàng hóa, dịch vụ 
( Name of goods/service)</t>
  </si>
  <si>
    <t>Đơn vị (Unit)</t>
  </si>
  <si>
    <t xml:space="preserve">Số lượng (Amount) </t>
  </si>
  <si>
    <t>Bên B xác nhận bên A đã giao cho bên B đúng chủng loại và đủ số lượng hàng hóa như trên. Hai bên đồng ý thống nhất ký tên biên bản được lập thành 02 bản có giá trị pháp lý như nhau.</t>
  </si>
  <si>
    <t xml:space="preserve">Người  lập             Trưởng phòng KD                 Bên giao hàng                   Bên nhận hàng       </t>
  </si>
  <si>
    <t>CÔNG TY TNHH NK NAM KHÁNH</t>
  </si>
  <si>
    <t>Mẫu số 01 - TT</t>
  </si>
  <si>
    <t>X1 Thôn Toàn Thắng, Xã Phúc Thịnh , TP.Hà Nội</t>
  </si>
  <si>
    <t>(Kèm theo Thông tư số 99/2025/TT-BTC ngày 27 
tháng 10 năm 2025 của Bộ trưởng Bộ Tài chính)</t>
  </si>
  <si>
    <t>PHIẾU THU</t>
  </si>
  <si>
    <t>Số:</t>
  </si>
  <si>
    <t>PT0121</t>
  </si>
  <si>
    <t>Nợ:</t>
  </si>
  <si>
    <t>1111</t>
  </si>
  <si>
    <t>Ngày 03 tháng 6 năm 2026</t>
  </si>
  <si>
    <t>Có:</t>
  </si>
  <si>
    <t>131</t>
  </si>
  <si>
    <t>Họ tên người nộp tiền:</t>
  </si>
  <si>
    <t>PHẠM VĂN CHUYỀN</t>
  </si>
  <si>
    <t>Địa chỉ:</t>
  </si>
  <si>
    <t>Thái Dương, Bình Giang, Hải Dương</t>
  </si>
  <si>
    <t>Lý do nộp:</t>
  </si>
  <si>
    <t>Thu tiền hàng của PHẠM VĂN CHUYỀN V0186</t>
  </si>
  <si>
    <t>Số tiền:</t>
  </si>
  <si>
    <t>5.361.540 VND</t>
  </si>
  <si>
    <t>Viết bằng chữ:</t>
  </si>
  <si>
    <t>Năm triệu ba trăm sáu mươi mốt nghìn năm trăm bốn mươi đồng chẵn.</t>
  </si>
  <si>
    <t xml:space="preserve">Kèm theo số chứng từ : </t>
  </si>
  <si>
    <t>Tổng Giám đốc</t>
  </si>
  <si>
    <t>Kế toán trưởng</t>
  </si>
  <si>
    <t>Người nộp tiền</t>
  </si>
  <si>
    <t>Người lập phiếu</t>
  </si>
  <si>
    <t>Thủ quỹ</t>
  </si>
  <si>
    <t>(Ký, họ tên, đóng dấu)</t>
  </si>
  <si>
    <t>(Ký, họ tên)</t>
  </si>
  <si>
    <t xml:space="preserve">CÔNG TY TNHH NK NAM KHÁNH  </t>
  </si>
  <si>
    <t>Mẫu số 02 - TT</t>
  </si>
  <si>
    <t>X1 Thôn Toàn thắng , Xã Phúc Thịnh, TP. Hà Nội</t>
  </si>
  <si>
    <t>PHIẾU CHI</t>
  </si>
  <si>
    <t>PC0197</t>
  </si>
  <si>
    <t>Ngày 03 tháng 7 năm 2026</t>
  </si>
  <si>
    <t>141</t>
  </si>
  <si>
    <t>Họ và tên người nhận tiền:</t>
  </si>
  <si>
    <t>Phạm Anh Tuấn</t>
  </si>
  <si>
    <t>Lý do chi:</t>
  </si>
  <si>
    <t>Tạm ứng cho nhân viên Phạm Anh Tuấn</t>
  </si>
  <si>
    <t>2.000.000 VND</t>
  </si>
  <si>
    <t>Hai triệu đồng chẵn.</t>
  </si>
  <si>
    <t>Kèm theo chứng từ số</t>
  </si>
  <si>
    <t>Người nhận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</si>
</sst>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#,##0.00;\(#,##0.00\);"/>
    <numFmt numFmtId="178" formatCode="#,##0;\(#,##0\)"/>
    <numFmt numFmtId="179" formatCode="_(* #,##0.0_);_(* \(#,##0.0\);_(* &quot;-&quot;??_);_(@_)"/>
    <numFmt numFmtId="180" formatCode="_(* #,##0_);_(* \(#,##0\);_(* &quot;-&quot;??_);_(@_)"/>
    <numFmt numFmtId="181" formatCode="_(* #,##0.000_);_(* \(#,##0.000\);_(* &quot;-&quot;??_);_(@_)"/>
  </numFmts>
  <fonts count="60">
    <font>
      <sz val="11"/>
      <color theme="1"/>
      <name val="Calibri"/>
      <charset val="163"/>
      <scheme val="minor"/>
    </font>
    <font>
      <sz val="11"/>
      <color rgb="FF000000"/>
      <name val="Times New Roman"/>
      <charset val="134"/>
    </font>
    <font>
      <sz val="11"/>
      <color rgb="FF000000"/>
      <name val="Times New Roman"/>
      <charset val="1"/>
    </font>
    <font>
      <b/>
      <sz val="12"/>
      <color rgb="FF000000"/>
      <name val="Times New Roman"/>
      <charset val="1"/>
    </font>
    <font>
      <i/>
      <sz val="10"/>
      <color rgb="FF000000"/>
      <name val="Times New Roman"/>
      <charset val="1"/>
    </font>
    <font>
      <b/>
      <sz val="16"/>
      <color rgb="FF000000"/>
      <name val="Times New Roman"/>
      <charset val="1"/>
    </font>
    <font>
      <sz val="12"/>
      <color rgb="FF000000"/>
      <name val="Times New Roman"/>
      <charset val="1"/>
    </font>
    <font>
      <sz val="12"/>
      <color rgb="FF000000"/>
      <name val="Times New Roman"/>
      <charset val="134"/>
    </font>
    <font>
      <b/>
      <i/>
      <sz val="12"/>
      <color rgb="FF000000"/>
      <name val="Times New Roman"/>
      <charset val="1"/>
    </font>
    <font>
      <b/>
      <i/>
      <sz val="12"/>
      <color rgb="FF000000"/>
      <name val="Times New Roman"/>
      <charset val="134"/>
    </font>
    <font>
      <i/>
      <sz val="11"/>
      <color rgb="FF000000"/>
      <name val="Times New Roman"/>
      <charset val="1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indexed="8"/>
      <name val="Times New Roman"/>
      <charset val="134"/>
    </font>
    <font>
      <sz val="14"/>
      <color indexed="8"/>
      <name val=".VnTime"/>
      <charset val="134"/>
    </font>
    <font>
      <sz val="14"/>
      <color theme="1"/>
      <name val="Calibri"/>
      <charset val="163"/>
      <scheme val="minor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6"/>
      <color theme="1"/>
      <name val="Times New Roman"/>
      <charset val="134"/>
    </font>
    <font>
      <i/>
      <sz val="14"/>
      <color theme="1"/>
      <name val="Times New Roman"/>
      <charset val="134"/>
    </font>
    <font>
      <b/>
      <sz val="12"/>
      <name val="Times New Roman"/>
      <charset val="134"/>
    </font>
    <font>
      <sz val="14"/>
      <color indexed="8"/>
      <name val="Times New Roman"/>
      <charset val="163"/>
    </font>
    <font>
      <sz val="14"/>
      <name val="Times New Roman"/>
      <charset val="134"/>
    </font>
    <font>
      <b/>
      <sz val="14"/>
      <color indexed="8"/>
      <name val="Times New Roman"/>
      <charset val="163"/>
    </font>
    <font>
      <sz val="12"/>
      <name val="Times New Roman"/>
      <charset val="134"/>
    </font>
    <font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3"/>
      <name val="Times New Roman"/>
      <charset val="134"/>
    </font>
    <font>
      <sz val="13"/>
      <name val="Times New Roman"/>
      <charset val="134"/>
    </font>
    <font>
      <sz val="13"/>
      <color indexed="8"/>
      <name val="Times New Roman"/>
      <charset val="134"/>
    </font>
    <font>
      <b/>
      <i/>
      <sz val="13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16"/>
      <color indexed="8"/>
      <name val="Times New Roman"/>
      <charset val="134"/>
    </font>
    <font>
      <sz val="11"/>
      <name val="Times New Roman"/>
      <charset val="134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.VnTime"/>
      <charset val="134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3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6" borderId="1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7" borderId="19" applyNumberFormat="0" applyAlignment="0" applyProtection="0">
      <alignment vertical="center"/>
    </xf>
    <xf numFmtId="0" fontId="48" fillId="8" borderId="20" applyNumberFormat="0" applyAlignment="0" applyProtection="0">
      <alignment vertical="center"/>
    </xf>
    <xf numFmtId="0" fontId="49" fillId="8" borderId="19" applyNumberFormat="0" applyAlignment="0" applyProtection="0">
      <alignment vertical="center"/>
    </xf>
    <xf numFmtId="0" fontId="50" fillId="9" borderId="21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8" fillId="0" borderId="0"/>
    <xf numFmtId="0" fontId="59" fillId="0" borderId="0"/>
  </cellStyleXfs>
  <cellXfs count="19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177" fontId="3" fillId="0" borderId="0" xfId="0" applyNumberFormat="1" applyFont="1" applyAlignment="1">
      <alignment horizontal="left" vertical="top" wrapText="1"/>
    </xf>
    <xf numFmtId="177" fontId="3" fillId="0" borderId="0" xfId="0" applyNumberFormat="1" applyFont="1" applyAlignment="1">
      <alignment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8" fillId="0" borderId="0" xfId="0" applyFont="1" applyAlignment="1">
      <alignment horizontal="center" vertical="top"/>
    </xf>
    <xf numFmtId="178" fontId="3" fillId="0" borderId="0" xfId="0" applyNumberFormat="1" applyFont="1" applyAlignment="1">
      <alignment horizontal="left" vertical="top" wrapText="1"/>
    </xf>
    <xf numFmtId="178" fontId="3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2" borderId="0" xfId="0" applyFont="1" applyFill="1"/>
    <xf numFmtId="0" fontId="15" fillId="0" borderId="0" xfId="0" applyFont="1"/>
    <xf numFmtId="0" fontId="15" fillId="3" borderId="0" xfId="0" applyFont="1" applyFill="1"/>
    <xf numFmtId="0" fontId="15" fillId="3" borderId="0" xfId="0" applyFont="1" applyFill="1" applyAlignment="1">
      <alignment horizontal="left"/>
    </xf>
    <xf numFmtId="179" fontId="15" fillId="0" borderId="0" xfId="1" applyNumberFormat="1" applyFont="1"/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/>
    </xf>
    <xf numFmtId="0" fontId="17" fillId="2" borderId="0" xfId="0" applyFont="1" applyFill="1"/>
    <xf numFmtId="0" fontId="18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/>
    <xf numFmtId="0" fontId="16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6" fillId="2" borderId="0" xfId="0" applyFont="1" applyFill="1"/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4" fillId="2" borderId="0" xfId="0" applyFont="1" applyFill="1"/>
    <xf numFmtId="0" fontId="19" fillId="2" borderId="0" xfId="0" applyFont="1" applyFill="1" applyAlignment="1">
      <alignment wrapText="1"/>
    </xf>
    <xf numFmtId="1" fontId="20" fillId="3" borderId="3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80" fontId="20" fillId="3" borderId="3" xfId="1" applyNumberFormat="1" applyFont="1" applyFill="1" applyBorder="1" applyAlignment="1">
      <alignment horizontal="center" vertical="center" wrapText="1"/>
    </xf>
    <xf numFmtId="179" fontId="20" fillId="3" borderId="3" xfId="1" applyNumberFormat="1" applyFont="1" applyFill="1" applyBorder="1" applyAlignment="1">
      <alignment horizontal="center" vertical="center" wrapText="1"/>
    </xf>
    <xf numFmtId="1" fontId="21" fillId="3" borderId="3" xfId="0" applyNumberFormat="1" applyFont="1" applyFill="1" applyBorder="1" applyAlignment="1">
      <alignment horizontal="center"/>
    </xf>
    <xf numFmtId="0" fontId="21" fillId="3" borderId="3" xfId="0" applyFont="1" applyFill="1" applyBorder="1" applyAlignment="1">
      <alignment horizontal="left"/>
    </xf>
    <xf numFmtId="0" fontId="21" fillId="3" borderId="3" xfId="0" applyFont="1" applyFill="1" applyBorder="1" applyAlignment="1">
      <alignment horizontal="center"/>
    </xf>
    <xf numFmtId="179" fontId="21" fillId="3" borderId="3" xfId="1" applyNumberFormat="1" applyFont="1" applyFill="1" applyBorder="1" applyAlignment="1">
      <alignment horizontal="center"/>
    </xf>
    <xf numFmtId="0" fontId="22" fillId="2" borderId="4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vertical="center" wrapText="1"/>
    </xf>
    <xf numFmtId="0" fontId="23" fillId="2" borderId="0" xfId="0" applyFont="1" applyFill="1"/>
    <xf numFmtId="0" fontId="23" fillId="2" borderId="0" xfId="0" applyFont="1" applyFill="1" applyAlignment="1">
      <alignment horizontal="left"/>
    </xf>
    <xf numFmtId="179" fontId="23" fillId="2" borderId="0" xfId="1" applyNumberFormat="1" applyFont="1" applyFill="1"/>
    <xf numFmtId="0" fontId="15" fillId="2" borderId="0" xfId="0" applyFont="1" applyFill="1" applyAlignment="1">
      <alignment horizontal="left"/>
    </xf>
    <xf numFmtId="179" fontId="15" fillId="2" borderId="0" xfId="1" applyNumberFormat="1" applyFont="1" applyFill="1"/>
    <xf numFmtId="0" fontId="15" fillId="2" borderId="0" xfId="0" applyFont="1" applyFill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80" fontId="11" fillId="0" borderId="0" xfId="1" applyNumberFormat="1" applyFont="1" applyAlignment="1">
      <alignment horizontal="center"/>
    </xf>
    <xf numFmtId="179" fontId="11" fillId="0" borderId="0" xfId="1" applyNumberFormat="1" applyFont="1"/>
    <xf numFmtId="180" fontId="11" fillId="0" borderId="0" xfId="1" applyNumberFormat="1" applyFont="1"/>
    <xf numFmtId="181" fontId="11" fillId="2" borderId="0" xfId="1" applyNumberFormat="1" applyFont="1" applyFill="1"/>
    <xf numFmtId="180" fontId="17" fillId="2" borderId="0" xfId="1" applyNumberFormat="1" applyFont="1" applyFill="1" applyAlignment="1">
      <alignment horizontal="center" vertical="center"/>
    </xf>
    <xf numFmtId="180" fontId="12" fillId="2" borderId="0" xfId="1" applyNumberFormat="1" applyFont="1" applyFill="1" applyBorder="1" applyAlignment="1"/>
    <xf numFmtId="0" fontId="1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16" fillId="2" borderId="5" xfId="0" applyFont="1" applyFill="1" applyBorder="1" applyAlignment="1">
      <alignment horizontal="left" vertical="top"/>
    </xf>
    <xf numFmtId="181" fontId="12" fillId="2" borderId="0" xfId="1" applyNumberFormat="1" applyFont="1" applyFill="1"/>
    <xf numFmtId="0" fontId="26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12" fillId="2" borderId="6" xfId="0" applyFont="1" applyFill="1" applyBorder="1" applyAlignment="1">
      <alignment horizontal="right" vertical="center" wrapText="1"/>
    </xf>
    <xf numFmtId="0" fontId="24" fillId="2" borderId="0" xfId="0" applyFont="1" applyFill="1"/>
    <xf numFmtId="181" fontId="24" fillId="2" borderId="0" xfId="1" applyNumberFormat="1" applyFont="1" applyFill="1"/>
    <xf numFmtId="1" fontId="22" fillId="3" borderId="3" xfId="0" applyNumberFormat="1" applyFont="1" applyFill="1" applyBorder="1" applyAlignment="1">
      <alignment horizontal="center" vertical="center"/>
    </xf>
    <xf numFmtId="181" fontId="13" fillId="2" borderId="3" xfId="1" applyNumberFormat="1" applyFont="1" applyFill="1" applyBorder="1" applyAlignment="1">
      <alignment horizontal="left" vertical="center"/>
    </xf>
    <xf numFmtId="179" fontId="13" fillId="2" borderId="3" xfId="1" applyNumberFormat="1" applyFont="1" applyFill="1" applyBorder="1" applyAlignment="1">
      <alignment horizontal="left" vertical="center"/>
    </xf>
    <xf numFmtId="180" fontId="13" fillId="2" borderId="3" xfId="1" applyNumberFormat="1" applyFont="1" applyFill="1" applyBorder="1" applyAlignment="1">
      <alignment horizontal="left" vertical="center"/>
    </xf>
    <xf numFmtId="180" fontId="22" fillId="3" borderId="3" xfId="1" applyNumberFormat="1" applyFont="1" applyFill="1" applyBorder="1" applyAlignment="1">
      <alignment horizontal="center" vertical="center" wrapText="1"/>
    </xf>
    <xf numFmtId="179" fontId="22" fillId="3" borderId="3" xfId="1" applyNumberFormat="1" applyFont="1" applyFill="1" applyBorder="1" applyAlignment="1">
      <alignment horizontal="center" vertical="center"/>
    </xf>
    <xf numFmtId="181" fontId="13" fillId="3" borderId="3" xfId="1" applyNumberFormat="1" applyFont="1" applyFill="1" applyBorder="1" applyAlignment="1">
      <alignment horizontal="left" vertical="center"/>
    </xf>
    <xf numFmtId="1" fontId="20" fillId="3" borderId="7" xfId="0" applyNumberFormat="1" applyFont="1" applyFill="1" applyBorder="1" applyAlignment="1">
      <alignment vertical="center"/>
    </xf>
    <xf numFmtId="1" fontId="20" fillId="3" borderId="8" xfId="0" applyNumberFormat="1" applyFont="1" applyFill="1" applyBorder="1" applyAlignment="1">
      <alignment vertical="center"/>
    </xf>
    <xf numFmtId="1" fontId="20" fillId="3" borderId="9" xfId="0" applyNumberFormat="1" applyFont="1" applyFill="1" applyBorder="1" applyAlignment="1">
      <alignment vertical="center"/>
    </xf>
    <xf numFmtId="180" fontId="24" fillId="2" borderId="0" xfId="0" applyNumberFormat="1" applyFont="1" applyFill="1"/>
    <xf numFmtId="9" fontId="20" fillId="3" borderId="8" xfId="3" applyFont="1" applyFill="1" applyBorder="1" applyAlignment="1">
      <alignment horizontal="left" vertical="center"/>
    </xf>
    <xf numFmtId="1" fontId="20" fillId="3" borderId="8" xfId="0" applyNumberFormat="1" applyFont="1" applyFill="1" applyBorder="1" applyAlignment="1">
      <alignment horizontal="left" vertical="center"/>
    </xf>
    <xf numFmtId="1" fontId="20" fillId="3" borderId="9" xfId="0" applyNumberFormat="1" applyFont="1" applyFill="1" applyBorder="1" applyAlignment="1">
      <alignment horizontal="left" vertical="center"/>
    </xf>
    <xf numFmtId="0" fontId="22" fillId="2" borderId="0" xfId="0" applyFont="1" applyFill="1"/>
    <xf numFmtId="0" fontId="27" fillId="2" borderId="4" xfId="0" applyFont="1" applyFill="1" applyBorder="1" applyAlignment="1">
      <alignment horizontal="left"/>
    </xf>
    <xf numFmtId="0" fontId="27" fillId="2" borderId="0" xfId="0" applyFont="1" applyFill="1" applyAlignment="1">
      <alignment horizontal="center" vertical="center"/>
    </xf>
    <xf numFmtId="180" fontId="27" fillId="2" borderId="0" xfId="1" applyNumberFormat="1" applyFont="1" applyFill="1" applyBorder="1" applyAlignment="1">
      <alignment horizontal="center"/>
    </xf>
    <xf numFmtId="0" fontId="27" fillId="2" borderId="0" xfId="0" applyFont="1" applyFill="1" applyAlignment="1">
      <alignment vertical="center"/>
    </xf>
    <xf numFmtId="180" fontId="27" fillId="2" borderId="0" xfId="1" applyNumberFormat="1" applyFont="1" applyFill="1" applyAlignment="1">
      <alignment horizontal="right"/>
    </xf>
    <xf numFmtId="180" fontId="11" fillId="2" borderId="0" xfId="1" applyNumberFormat="1" applyFont="1" applyFill="1"/>
    <xf numFmtId="0" fontId="28" fillId="2" borderId="0" xfId="0" applyFont="1" applyFill="1" applyAlignment="1">
      <alignment horizontal="left"/>
    </xf>
    <xf numFmtId="0" fontId="29" fillId="2" borderId="0" xfId="0" applyFont="1" applyFill="1" applyAlignment="1">
      <alignment horizontal="left"/>
    </xf>
    <xf numFmtId="0" fontId="27" fillId="2" borderId="0" xfId="0" applyFont="1" applyFill="1" applyAlignment="1">
      <alignment horizontal="left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30" fillId="2" borderId="0" xfId="0" applyFont="1" applyFill="1" applyAlignment="1">
      <alignment horizontal="left"/>
    </xf>
    <xf numFmtId="0" fontId="30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8" fillId="2" borderId="0" xfId="0" applyFont="1" applyFill="1" applyAlignment="1">
      <alignment horizontal="center" vertical="center"/>
    </xf>
    <xf numFmtId="180" fontId="28" fillId="2" borderId="0" xfId="1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80" fontId="11" fillId="2" borderId="0" xfId="1" applyNumberFormat="1" applyFont="1" applyFill="1" applyAlignment="1">
      <alignment horizontal="center"/>
    </xf>
    <xf numFmtId="179" fontId="11" fillId="2" borderId="0" xfId="1" applyNumberFormat="1" applyFont="1" applyFill="1"/>
    <xf numFmtId="0" fontId="16" fillId="2" borderId="0" xfId="0" applyFont="1" applyFill="1" applyAlignment="1">
      <alignment horizontal="center"/>
    </xf>
    <xf numFmtId="0" fontId="31" fillId="2" borderId="0" xfId="0" applyFont="1" applyFill="1"/>
    <xf numFmtId="0" fontId="32" fillId="2" borderId="0" xfId="0" applyFont="1" applyFill="1"/>
    <xf numFmtId="1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 vertical="center"/>
    </xf>
    <xf numFmtId="0" fontId="31" fillId="0" borderId="0" xfId="0" applyFont="1"/>
    <xf numFmtId="180" fontId="31" fillId="0" borderId="0" xfId="1" applyNumberFormat="1" applyFont="1"/>
    <xf numFmtId="180" fontId="31" fillId="2" borderId="0" xfId="1" applyNumberFormat="1" applyFont="1" applyFill="1"/>
    <xf numFmtId="1" fontId="33" fillId="2" borderId="10" xfId="0" applyNumberFormat="1" applyFont="1" applyFill="1" applyBorder="1" applyAlignment="1">
      <alignment horizontal="center" vertical="center"/>
    </xf>
    <xf numFmtId="1" fontId="32" fillId="4" borderId="11" xfId="0" applyNumberFormat="1" applyFont="1" applyFill="1" applyBorder="1" applyAlignment="1">
      <alignment horizontal="center" vertical="center" wrapText="1"/>
    </xf>
    <xf numFmtId="0" fontId="32" fillId="4" borderId="11" xfId="0" applyFont="1" applyFill="1" applyBorder="1" applyAlignment="1">
      <alignment horizontal="center" vertical="center" wrapText="1"/>
    </xf>
    <xf numFmtId="180" fontId="32" fillId="4" borderId="11" xfId="1" applyNumberFormat="1" applyFont="1" applyFill="1" applyBorder="1" applyAlignment="1">
      <alignment horizontal="center" vertical="center" wrapText="1"/>
    </xf>
    <xf numFmtId="1" fontId="32" fillId="5" borderId="12" xfId="0" applyNumberFormat="1" applyFont="1" applyFill="1" applyBorder="1" applyAlignment="1">
      <alignment horizontal="left" vertical="center" wrapText="1"/>
    </xf>
    <xf numFmtId="1" fontId="32" fillId="5" borderId="13" xfId="0" applyNumberFormat="1" applyFont="1" applyFill="1" applyBorder="1" applyAlignment="1">
      <alignment horizontal="left" vertical="center" wrapText="1"/>
    </xf>
    <xf numFmtId="1" fontId="32" fillId="5" borderId="14" xfId="0" applyNumberFormat="1" applyFont="1" applyFill="1" applyBorder="1" applyAlignment="1">
      <alignment horizontal="left" vertical="center" wrapText="1"/>
    </xf>
    <xf numFmtId="1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4" fillId="0" borderId="11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/>
    </xf>
    <xf numFmtId="180" fontId="31" fillId="0" borderId="11" xfId="1" applyNumberFormat="1" applyFont="1" applyBorder="1"/>
    <xf numFmtId="180" fontId="31" fillId="2" borderId="11" xfId="1" applyNumberFormat="1" applyFont="1" applyFill="1" applyBorder="1"/>
    <xf numFmtId="0" fontId="34" fillId="0" borderId="11" xfId="0" applyFont="1" applyBorder="1" applyAlignment="1">
      <alignment horizontal="left" vertical="center" wrapText="1"/>
    </xf>
    <xf numFmtId="0" fontId="31" fillId="3" borderId="11" xfId="0" applyFont="1" applyFill="1" applyBorder="1" applyAlignment="1">
      <alignment horizontal="center"/>
    </xf>
    <xf numFmtId="0" fontId="35" fillId="5" borderId="12" xfId="0" applyFont="1" applyFill="1" applyBorder="1" applyAlignment="1">
      <alignment horizontal="left" vertical="center"/>
    </xf>
    <xf numFmtId="0" fontId="35" fillId="5" borderId="13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1" fillId="2" borderId="11" xfId="0" applyFont="1" applyFill="1" applyBorder="1" applyAlignment="1">
      <alignment horizontal="center"/>
    </xf>
    <xf numFmtId="0" fontId="34" fillId="3" borderId="11" xfId="0" applyFont="1" applyFill="1" applyBorder="1" applyAlignment="1">
      <alignment horizontal="left" vertical="center"/>
    </xf>
    <xf numFmtId="0" fontId="34" fillId="3" borderId="11" xfId="0" applyFont="1" applyFill="1" applyBorder="1" applyAlignment="1">
      <alignment horizontal="center" vertical="center"/>
    </xf>
    <xf numFmtId="0" fontId="31" fillId="0" borderId="11" xfId="0" applyFont="1" applyBorder="1"/>
    <xf numFmtId="1" fontId="35" fillId="5" borderId="12" xfId="0" applyNumberFormat="1" applyFont="1" applyFill="1" applyBorder="1" applyAlignment="1">
      <alignment horizontal="left" vertical="center"/>
    </xf>
    <xf numFmtId="1" fontId="35" fillId="5" borderId="13" xfId="0" applyNumberFormat="1" applyFont="1" applyFill="1" applyBorder="1" applyAlignment="1">
      <alignment horizontal="left" vertical="center"/>
    </xf>
    <xf numFmtId="1" fontId="35" fillId="5" borderId="14" xfId="0" applyNumberFormat="1" applyFont="1" applyFill="1" applyBorder="1" applyAlignment="1">
      <alignment horizontal="left" vertical="center"/>
    </xf>
    <xf numFmtId="1" fontId="31" fillId="0" borderId="15" xfId="0" applyNumberFormat="1" applyFont="1" applyBorder="1" applyAlignment="1">
      <alignment horizontal="center"/>
    </xf>
    <xf numFmtId="0" fontId="34" fillId="0" borderId="15" xfId="0" applyFont="1" applyBorder="1" applyAlignment="1">
      <alignment horizontal="left" vertical="center"/>
    </xf>
    <xf numFmtId="0" fontId="34" fillId="0" borderId="15" xfId="0" applyFont="1" applyBorder="1" applyAlignment="1">
      <alignment horizontal="center" vertical="center"/>
    </xf>
    <xf numFmtId="180" fontId="31" fillId="0" borderId="15" xfId="1" applyNumberFormat="1" applyFont="1" applyBorder="1"/>
    <xf numFmtId="180" fontId="31" fillId="2" borderId="15" xfId="1" applyNumberFormat="1" applyFont="1" applyFill="1" applyBorder="1"/>
    <xf numFmtId="1" fontId="35" fillId="5" borderId="11" xfId="0" applyNumberFormat="1" applyFont="1" applyFill="1" applyBorder="1" applyAlignment="1">
      <alignment horizontal="left" vertical="center"/>
    </xf>
    <xf numFmtId="0" fontId="35" fillId="5" borderId="12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center" vertical="center"/>
    </xf>
    <xf numFmtId="0" fontId="35" fillId="5" borderId="14" xfId="0" applyFont="1" applyFill="1" applyBorder="1" applyAlignment="1">
      <alignment horizontal="center" vertical="center"/>
    </xf>
    <xf numFmtId="0" fontId="31" fillId="2" borderId="11" xfId="49" applyFont="1" applyFill="1" applyBorder="1" applyAlignment="1">
      <alignment horizontal="left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1" xfId="49" applyFont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36" fillId="0" borderId="11" xfId="0" applyFont="1" applyBorder="1" applyAlignment="1">
      <alignment horizontal="center" vertical="center"/>
    </xf>
    <xf numFmtId="0" fontId="35" fillId="5" borderId="12" xfId="0" applyFont="1" applyFill="1" applyBorder="1" applyAlignment="1">
      <alignment horizontal="left" vertical="center" wrapText="1"/>
    </xf>
    <xf numFmtId="0" fontId="35" fillId="5" borderId="13" xfId="0" applyFont="1" applyFill="1" applyBorder="1" applyAlignment="1">
      <alignment horizontal="left" vertical="center" wrapText="1"/>
    </xf>
    <xf numFmtId="0" fontId="35" fillId="5" borderId="14" xfId="0" applyFont="1" applyFill="1" applyBorder="1" applyAlignment="1">
      <alignment horizontal="left" vertical="center" wrapText="1"/>
    </xf>
    <xf numFmtId="0" fontId="37" fillId="5" borderId="12" xfId="0" applyFont="1" applyFill="1" applyBorder="1" applyAlignment="1">
      <alignment horizontal="left" vertical="center" wrapText="1"/>
    </xf>
    <xf numFmtId="0" fontId="37" fillId="5" borderId="13" xfId="0" applyFont="1" applyFill="1" applyBorder="1" applyAlignment="1">
      <alignment horizontal="left" vertical="center" wrapText="1"/>
    </xf>
    <xf numFmtId="0" fontId="37" fillId="5" borderId="14" xfId="0" applyFont="1" applyFill="1" applyBorder="1" applyAlignment="1">
      <alignment horizontal="left" vertical="center" wrapText="1"/>
    </xf>
    <xf numFmtId="1" fontId="21" fillId="3" borderId="3" xfId="0" applyNumberFormat="1" applyFont="1" applyFill="1" applyBorder="1" applyAlignment="1" quotePrefix="1">
      <alignment horizontal="center"/>
    </xf>
    <xf numFmtId="0" fontId="21" fillId="3" borderId="3" xfId="0" applyFont="1" applyFill="1" applyBorder="1" applyAlignment="1" quotePrefix="1">
      <alignment horizontal="left"/>
    </xf>
    <xf numFmtId="0" fontId="21" fillId="3" borderId="3" xfId="0" applyFont="1" applyFill="1" applyBorder="1" applyAlignment="1" quotePrefix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</xdr:colOff>
      <xdr:row>0</xdr:row>
      <xdr:rowOff>70369</xdr:rowOff>
    </xdr:from>
    <xdr:to>
      <xdr:col>2</xdr:col>
      <xdr:colOff>806256</xdr:colOff>
      <xdr:row>4</xdr:row>
      <xdr:rowOff>76201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" y="69850"/>
          <a:ext cx="1251585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</xdr:colOff>
      <xdr:row>0</xdr:row>
      <xdr:rowOff>70369</xdr:rowOff>
    </xdr:from>
    <xdr:to>
      <xdr:col>2</xdr:col>
      <xdr:colOff>913571</xdr:colOff>
      <xdr:row>4</xdr:row>
      <xdr:rowOff>76201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" y="69850"/>
          <a:ext cx="1251585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gram%20Files%20(x86)\VnToolsExcel\VnTools-Excel.xla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3"/>
  <sheetViews>
    <sheetView zoomScale="115" zoomScaleNormal="115" workbookViewId="0">
      <pane ySplit="2" topLeftCell="A3" activePane="bottomLeft" state="frozen"/>
      <selection/>
      <selection pane="bottomLeft" activeCell="H19" sqref="H19"/>
    </sheetView>
  </sheetViews>
  <sheetFormatPr defaultColWidth="9.1047619047619" defaultRowHeight="19.8" customHeight="1" outlineLevelCol="5"/>
  <cols>
    <col min="1" max="1" width="4.21904761904762" style="145" customWidth="1"/>
    <col min="2" max="2" width="15.3333333333333" style="146" customWidth="1"/>
    <col min="3" max="3" width="45.3333333333333" style="147" customWidth="1"/>
    <col min="4" max="4" width="11.1047619047619" style="148" customWidth="1"/>
    <col min="5" max="5" width="12.7809523809524" style="149" customWidth="1"/>
    <col min="6" max="6" width="22.6666666666667" style="150" customWidth="1"/>
    <col min="7" max="8" width="20" style="143" customWidth="1"/>
    <col min="9" max="35" width="9.1047619047619" style="143"/>
    <col min="36" max="248" width="9.1047619047619" style="148"/>
    <col min="249" max="249" width="7.33333333333333" style="148" customWidth="1"/>
    <col min="250" max="250" width="33.3333333333333" style="148" customWidth="1"/>
    <col min="251" max="251" width="12.552380952381" style="148" customWidth="1"/>
    <col min="252" max="252" width="11.6666666666667" style="148" customWidth="1"/>
    <col min="253" max="253" width="9.66666666666667" style="148" customWidth="1"/>
    <col min="254" max="254" width="10.3333333333333" style="148" customWidth="1"/>
    <col min="255" max="255" width="12.552380952381" style="148" customWidth="1"/>
    <col min="256" max="256" width="13.3333333333333" style="148" customWidth="1"/>
    <col min="257" max="257" width="18" style="148" customWidth="1"/>
    <col min="258" max="504" width="9.1047619047619" style="148"/>
    <col min="505" max="505" width="7.33333333333333" style="148" customWidth="1"/>
    <col min="506" max="506" width="33.3333333333333" style="148" customWidth="1"/>
    <col min="507" max="507" width="12.552380952381" style="148" customWidth="1"/>
    <col min="508" max="508" width="11.6666666666667" style="148" customWidth="1"/>
    <col min="509" max="509" width="9.66666666666667" style="148" customWidth="1"/>
    <col min="510" max="510" width="10.3333333333333" style="148" customWidth="1"/>
    <col min="511" max="511" width="12.552380952381" style="148" customWidth="1"/>
    <col min="512" max="512" width="13.3333333333333" style="148" customWidth="1"/>
    <col min="513" max="513" width="18" style="148" customWidth="1"/>
    <col min="514" max="760" width="9.1047619047619" style="148"/>
    <col min="761" max="761" width="7.33333333333333" style="148" customWidth="1"/>
    <col min="762" max="762" width="33.3333333333333" style="148" customWidth="1"/>
    <col min="763" max="763" width="12.552380952381" style="148" customWidth="1"/>
    <col min="764" max="764" width="11.6666666666667" style="148" customWidth="1"/>
    <col min="765" max="765" width="9.66666666666667" style="148" customWidth="1"/>
    <col min="766" max="766" width="10.3333333333333" style="148" customWidth="1"/>
    <col min="767" max="767" width="12.552380952381" style="148" customWidth="1"/>
    <col min="768" max="768" width="13.3333333333333" style="148" customWidth="1"/>
    <col min="769" max="769" width="18" style="148" customWidth="1"/>
    <col min="770" max="1016" width="9.1047619047619" style="148"/>
    <col min="1017" max="1017" width="7.33333333333333" style="148" customWidth="1"/>
    <col min="1018" max="1018" width="33.3333333333333" style="148" customWidth="1"/>
    <col min="1019" max="1019" width="12.552380952381" style="148" customWidth="1"/>
    <col min="1020" max="1020" width="11.6666666666667" style="148" customWidth="1"/>
    <col min="1021" max="1021" width="9.66666666666667" style="148" customWidth="1"/>
    <col min="1022" max="1022" width="10.3333333333333" style="148" customWidth="1"/>
    <col min="1023" max="1023" width="12.552380952381" style="148" customWidth="1"/>
    <col min="1024" max="1024" width="13.3333333333333" style="148" customWidth="1"/>
    <col min="1025" max="1025" width="18" style="148" customWidth="1"/>
    <col min="1026" max="1272" width="9.1047619047619" style="148"/>
    <col min="1273" max="1273" width="7.33333333333333" style="148" customWidth="1"/>
    <col min="1274" max="1274" width="33.3333333333333" style="148" customWidth="1"/>
    <col min="1275" max="1275" width="12.552380952381" style="148" customWidth="1"/>
    <col min="1276" max="1276" width="11.6666666666667" style="148" customWidth="1"/>
    <col min="1277" max="1277" width="9.66666666666667" style="148" customWidth="1"/>
    <col min="1278" max="1278" width="10.3333333333333" style="148" customWidth="1"/>
    <col min="1279" max="1279" width="12.552380952381" style="148" customWidth="1"/>
    <col min="1280" max="1280" width="13.3333333333333" style="148" customWidth="1"/>
    <col min="1281" max="1281" width="18" style="148" customWidth="1"/>
    <col min="1282" max="1528" width="9.1047619047619" style="148"/>
    <col min="1529" max="1529" width="7.33333333333333" style="148" customWidth="1"/>
    <col min="1530" max="1530" width="33.3333333333333" style="148" customWidth="1"/>
    <col min="1531" max="1531" width="12.552380952381" style="148" customWidth="1"/>
    <col min="1532" max="1532" width="11.6666666666667" style="148" customWidth="1"/>
    <col min="1533" max="1533" width="9.66666666666667" style="148" customWidth="1"/>
    <col min="1534" max="1534" width="10.3333333333333" style="148" customWidth="1"/>
    <col min="1535" max="1535" width="12.552380952381" style="148" customWidth="1"/>
    <col min="1536" max="1536" width="13.3333333333333" style="148" customWidth="1"/>
    <col min="1537" max="1537" width="18" style="148" customWidth="1"/>
    <col min="1538" max="1784" width="9.1047619047619" style="148"/>
    <col min="1785" max="1785" width="7.33333333333333" style="148" customWidth="1"/>
    <col min="1786" max="1786" width="33.3333333333333" style="148" customWidth="1"/>
    <col min="1787" max="1787" width="12.552380952381" style="148" customWidth="1"/>
    <col min="1788" max="1788" width="11.6666666666667" style="148" customWidth="1"/>
    <col min="1789" max="1789" width="9.66666666666667" style="148" customWidth="1"/>
    <col min="1790" max="1790" width="10.3333333333333" style="148" customWidth="1"/>
    <col min="1791" max="1791" width="12.552380952381" style="148" customWidth="1"/>
    <col min="1792" max="1792" width="13.3333333333333" style="148" customWidth="1"/>
    <col min="1793" max="1793" width="18" style="148" customWidth="1"/>
    <col min="1794" max="2040" width="9.1047619047619" style="148"/>
    <col min="2041" max="2041" width="7.33333333333333" style="148" customWidth="1"/>
    <col min="2042" max="2042" width="33.3333333333333" style="148" customWidth="1"/>
    <col min="2043" max="2043" width="12.552380952381" style="148" customWidth="1"/>
    <col min="2044" max="2044" width="11.6666666666667" style="148" customWidth="1"/>
    <col min="2045" max="2045" width="9.66666666666667" style="148" customWidth="1"/>
    <col min="2046" max="2046" width="10.3333333333333" style="148" customWidth="1"/>
    <col min="2047" max="2047" width="12.552380952381" style="148" customWidth="1"/>
    <col min="2048" max="2048" width="13.3333333333333" style="148" customWidth="1"/>
    <col min="2049" max="2049" width="18" style="148" customWidth="1"/>
    <col min="2050" max="2296" width="9.1047619047619" style="148"/>
    <col min="2297" max="2297" width="7.33333333333333" style="148" customWidth="1"/>
    <col min="2298" max="2298" width="33.3333333333333" style="148" customWidth="1"/>
    <col min="2299" max="2299" width="12.552380952381" style="148" customWidth="1"/>
    <col min="2300" max="2300" width="11.6666666666667" style="148" customWidth="1"/>
    <col min="2301" max="2301" width="9.66666666666667" style="148" customWidth="1"/>
    <col min="2302" max="2302" width="10.3333333333333" style="148" customWidth="1"/>
    <col min="2303" max="2303" width="12.552380952381" style="148" customWidth="1"/>
    <col min="2304" max="2304" width="13.3333333333333" style="148" customWidth="1"/>
    <col min="2305" max="2305" width="18" style="148" customWidth="1"/>
    <col min="2306" max="2552" width="9.1047619047619" style="148"/>
    <col min="2553" max="2553" width="7.33333333333333" style="148" customWidth="1"/>
    <col min="2554" max="2554" width="33.3333333333333" style="148" customWidth="1"/>
    <col min="2555" max="2555" width="12.552380952381" style="148" customWidth="1"/>
    <col min="2556" max="2556" width="11.6666666666667" style="148" customWidth="1"/>
    <col min="2557" max="2557" width="9.66666666666667" style="148" customWidth="1"/>
    <col min="2558" max="2558" width="10.3333333333333" style="148" customWidth="1"/>
    <col min="2559" max="2559" width="12.552380952381" style="148" customWidth="1"/>
    <col min="2560" max="2560" width="13.3333333333333" style="148" customWidth="1"/>
    <col min="2561" max="2561" width="18" style="148" customWidth="1"/>
    <col min="2562" max="2808" width="9.1047619047619" style="148"/>
    <col min="2809" max="2809" width="7.33333333333333" style="148" customWidth="1"/>
    <col min="2810" max="2810" width="33.3333333333333" style="148" customWidth="1"/>
    <col min="2811" max="2811" width="12.552380952381" style="148" customWidth="1"/>
    <col min="2812" max="2812" width="11.6666666666667" style="148" customWidth="1"/>
    <col min="2813" max="2813" width="9.66666666666667" style="148" customWidth="1"/>
    <col min="2814" max="2814" width="10.3333333333333" style="148" customWidth="1"/>
    <col min="2815" max="2815" width="12.552380952381" style="148" customWidth="1"/>
    <col min="2816" max="2816" width="13.3333333333333" style="148" customWidth="1"/>
    <col min="2817" max="2817" width="18" style="148" customWidth="1"/>
    <col min="2818" max="3064" width="9.1047619047619" style="148"/>
    <col min="3065" max="3065" width="7.33333333333333" style="148" customWidth="1"/>
    <col min="3066" max="3066" width="33.3333333333333" style="148" customWidth="1"/>
    <col min="3067" max="3067" width="12.552380952381" style="148" customWidth="1"/>
    <col min="3068" max="3068" width="11.6666666666667" style="148" customWidth="1"/>
    <col min="3069" max="3069" width="9.66666666666667" style="148" customWidth="1"/>
    <col min="3070" max="3070" width="10.3333333333333" style="148" customWidth="1"/>
    <col min="3071" max="3071" width="12.552380952381" style="148" customWidth="1"/>
    <col min="3072" max="3072" width="13.3333333333333" style="148" customWidth="1"/>
    <col min="3073" max="3073" width="18" style="148" customWidth="1"/>
    <col min="3074" max="3320" width="9.1047619047619" style="148"/>
    <col min="3321" max="3321" width="7.33333333333333" style="148" customWidth="1"/>
    <col min="3322" max="3322" width="33.3333333333333" style="148" customWidth="1"/>
    <col min="3323" max="3323" width="12.552380952381" style="148" customWidth="1"/>
    <col min="3324" max="3324" width="11.6666666666667" style="148" customWidth="1"/>
    <col min="3325" max="3325" width="9.66666666666667" style="148" customWidth="1"/>
    <col min="3326" max="3326" width="10.3333333333333" style="148" customWidth="1"/>
    <col min="3327" max="3327" width="12.552380952381" style="148" customWidth="1"/>
    <col min="3328" max="3328" width="13.3333333333333" style="148" customWidth="1"/>
    <col min="3329" max="3329" width="18" style="148" customWidth="1"/>
    <col min="3330" max="3576" width="9.1047619047619" style="148"/>
    <col min="3577" max="3577" width="7.33333333333333" style="148" customWidth="1"/>
    <col min="3578" max="3578" width="33.3333333333333" style="148" customWidth="1"/>
    <col min="3579" max="3579" width="12.552380952381" style="148" customWidth="1"/>
    <col min="3580" max="3580" width="11.6666666666667" style="148" customWidth="1"/>
    <col min="3581" max="3581" width="9.66666666666667" style="148" customWidth="1"/>
    <col min="3582" max="3582" width="10.3333333333333" style="148" customWidth="1"/>
    <col min="3583" max="3583" width="12.552380952381" style="148" customWidth="1"/>
    <col min="3584" max="3584" width="13.3333333333333" style="148" customWidth="1"/>
    <col min="3585" max="3585" width="18" style="148" customWidth="1"/>
    <col min="3586" max="3832" width="9.1047619047619" style="148"/>
    <col min="3833" max="3833" width="7.33333333333333" style="148" customWidth="1"/>
    <col min="3834" max="3834" width="33.3333333333333" style="148" customWidth="1"/>
    <col min="3835" max="3835" width="12.552380952381" style="148" customWidth="1"/>
    <col min="3836" max="3836" width="11.6666666666667" style="148" customWidth="1"/>
    <col min="3837" max="3837" width="9.66666666666667" style="148" customWidth="1"/>
    <col min="3838" max="3838" width="10.3333333333333" style="148" customWidth="1"/>
    <col min="3839" max="3839" width="12.552380952381" style="148" customWidth="1"/>
    <col min="3840" max="3840" width="13.3333333333333" style="148" customWidth="1"/>
    <col min="3841" max="3841" width="18" style="148" customWidth="1"/>
    <col min="3842" max="4088" width="9.1047619047619" style="148"/>
    <col min="4089" max="4089" width="7.33333333333333" style="148" customWidth="1"/>
    <col min="4090" max="4090" width="33.3333333333333" style="148" customWidth="1"/>
    <col min="4091" max="4091" width="12.552380952381" style="148" customWidth="1"/>
    <col min="4092" max="4092" width="11.6666666666667" style="148" customWidth="1"/>
    <col min="4093" max="4093" width="9.66666666666667" style="148" customWidth="1"/>
    <col min="4094" max="4094" width="10.3333333333333" style="148" customWidth="1"/>
    <col min="4095" max="4095" width="12.552380952381" style="148" customWidth="1"/>
    <col min="4096" max="4096" width="13.3333333333333" style="148" customWidth="1"/>
    <col min="4097" max="4097" width="18" style="148" customWidth="1"/>
    <col min="4098" max="4344" width="9.1047619047619" style="148"/>
    <col min="4345" max="4345" width="7.33333333333333" style="148" customWidth="1"/>
    <col min="4346" max="4346" width="33.3333333333333" style="148" customWidth="1"/>
    <col min="4347" max="4347" width="12.552380952381" style="148" customWidth="1"/>
    <col min="4348" max="4348" width="11.6666666666667" style="148" customWidth="1"/>
    <col min="4349" max="4349" width="9.66666666666667" style="148" customWidth="1"/>
    <col min="4350" max="4350" width="10.3333333333333" style="148" customWidth="1"/>
    <col min="4351" max="4351" width="12.552380952381" style="148" customWidth="1"/>
    <col min="4352" max="4352" width="13.3333333333333" style="148" customWidth="1"/>
    <col min="4353" max="4353" width="18" style="148" customWidth="1"/>
    <col min="4354" max="4600" width="9.1047619047619" style="148"/>
    <col min="4601" max="4601" width="7.33333333333333" style="148" customWidth="1"/>
    <col min="4602" max="4602" width="33.3333333333333" style="148" customWidth="1"/>
    <col min="4603" max="4603" width="12.552380952381" style="148" customWidth="1"/>
    <col min="4604" max="4604" width="11.6666666666667" style="148" customWidth="1"/>
    <col min="4605" max="4605" width="9.66666666666667" style="148" customWidth="1"/>
    <col min="4606" max="4606" width="10.3333333333333" style="148" customWidth="1"/>
    <col min="4607" max="4607" width="12.552380952381" style="148" customWidth="1"/>
    <col min="4608" max="4608" width="13.3333333333333" style="148" customWidth="1"/>
    <col min="4609" max="4609" width="18" style="148" customWidth="1"/>
    <col min="4610" max="4856" width="9.1047619047619" style="148"/>
    <col min="4857" max="4857" width="7.33333333333333" style="148" customWidth="1"/>
    <col min="4858" max="4858" width="33.3333333333333" style="148" customWidth="1"/>
    <col min="4859" max="4859" width="12.552380952381" style="148" customWidth="1"/>
    <col min="4860" max="4860" width="11.6666666666667" style="148" customWidth="1"/>
    <col min="4861" max="4861" width="9.66666666666667" style="148" customWidth="1"/>
    <col min="4862" max="4862" width="10.3333333333333" style="148" customWidth="1"/>
    <col min="4863" max="4863" width="12.552380952381" style="148" customWidth="1"/>
    <col min="4864" max="4864" width="13.3333333333333" style="148" customWidth="1"/>
    <col min="4865" max="4865" width="18" style="148" customWidth="1"/>
    <col min="4866" max="5112" width="9.1047619047619" style="148"/>
    <col min="5113" max="5113" width="7.33333333333333" style="148" customWidth="1"/>
    <col min="5114" max="5114" width="33.3333333333333" style="148" customWidth="1"/>
    <col min="5115" max="5115" width="12.552380952381" style="148" customWidth="1"/>
    <col min="5116" max="5116" width="11.6666666666667" style="148" customWidth="1"/>
    <col min="5117" max="5117" width="9.66666666666667" style="148" customWidth="1"/>
    <col min="5118" max="5118" width="10.3333333333333" style="148" customWidth="1"/>
    <col min="5119" max="5119" width="12.552380952381" style="148" customWidth="1"/>
    <col min="5120" max="5120" width="13.3333333333333" style="148" customWidth="1"/>
    <col min="5121" max="5121" width="18" style="148" customWidth="1"/>
    <col min="5122" max="5368" width="9.1047619047619" style="148"/>
    <col min="5369" max="5369" width="7.33333333333333" style="148" customWidth="1"/>
    <col min="5370" max="5370" width="33.3333333333333" style="148" customWidth="1"/>
    <col min="5371" max="5371" width="12.552380952381" style="148" customWidth="1"/>
    <col min="5372" max="5372" width="11.6666666666667" style="148" customWidth="1"/>
    <col min="5373" max="5373" width="9.66666666666667" style="148" customWidth="1"/>
    <col min="5374" max="5374" width="10.3333333333333" style="148" customWidth="1"/>
    <col min="5375" max="5375" width="12.552380952381" style="148" customWidth="1"/>
    <col min="5376" max="5376" width="13.3333333333333" style="148" customWidth="1"/>
    <col min="5377" max="5377" width="18" style="148" customWidth="1"/>
    <col min="5378" max="5624" width="9.1047619047619" style="148"/>
    <col min="5625" max="5625" width="7.33333333333333" style="148" customWidth="1"/>
    <col min="5626" max="5626" width="33.3333333333333" style="148" customWidth="1"/>
    <col min="5627" max="5627" width="12.552380952381" style="148" customWidth="1"/>
    <col min="5628" max="5628" width="11.6666666666667" style="148" customWidth="1"/>
    <col min="5629" max="5629" width="9.66666666666667" style="148" customWidth="1"/>
    <col min="5630" max="5630" width="10.3333333333333" style="148" customWidth="1"/>
    <col min="5631" max="5631" width="12.552380952381" style="148" customWidth="1"/>
    <col min="5632" max="5632" width="13.3333333333333" style="148" customWidth="1"/>
    <col min="5633" max="5633" width="18" style="148" customWidth="1"/>
    <col min="5634" max="5880" width="9.1047619047619" style="148"/>
    <col min="5881" max="5881" width="7.33333333333333" style="148" customWidth="1"/>
    <col min="5882" max="5882" width="33.3333333333333" style="148" customWidth="1"/>
    <col min="5883" max="5883" width="12.552380952381" style="148" customWidth="1"/>
    <col min="5884" max="5884" width="11.6666666666667" style="148" customWidth="1"/>
    <col min="5885" max="5885" width="9.66666666666667" style="148" customWidth="1"/>
    <col min="5886" max="5886" width="10.3333333333333" style="148" customWidth="1"/>
    <col min="5887" max="5887" width="12.552380952381" style="148" customWidth="1"/>
    <col min="5888" max="5888" width="13.3333333333333" style="148" customWidth="1"/>
    <col min="5889" max="5889" width="18" style="148" customWidth="1"/>
    <col min="5890" max="6136" width="9.1047619047619" style="148"/>
    <col min="6137" max="6137" width="7.33333333333333" style="148" customWidth="1"/>
    <col min="6138" max="6138" width="33.3333333333333" style="148" customWidth="1"/>
    <col min="6139" max="6139" width="12.552380952381" style="148" customWidth="1"/>
    <col min="6140" max="6140" width="11.6666666666667" style="148" customWidth="1"/>
    <col min="6141" max="6141" width="9.66666666666667" style="148" customWidth="1"/>
    <col min="6142" max="6142" width="10.3333333333333" style="148" customWidth="1"/>
    <col min="6143" max="6143" width="12.552380952381" style="148" customWidth="1"/>
    <col min="6144" max="6144" width="13.3333333333333" style="148" customWidth="1"/>
    <col min="6145" max="6145" width="18" style="148" customWidth="1"/>
    <col min="6146" max="6392" width="9.1047619047619" style="148"/>
    <col min="6393" max="6393" width="7.33333333333333" style="148" customWidth="1"/>
    <col min="6394" max="6394" width="33.3333333333333" style="148" customWidth="1"/>
    <col min="6395" max="6395" width="12.552380952381" style="148" customWidth="1"/>
    <col min="6396" max="6396" width="11.6666666666667" style="148" customWidth="1"/>
    <col min="6397" max="6397" width="9.66666666666667" style="148" customWidth="1"/>
    <col min="6398" max="6398" width="10.3333333333333" style="148" customWidth="1"/>
    <col min="6399" max="6399" width="12.552380952381" style="148" customWidth="1"/>
    <col min="6400" max="6400" width="13.3333333333333" style="148" customWidth="1"/>
    <col min="6401" max="6401" width="18" style="148" customWidth="1"/>
    <col min="6402" max="6648" width="9.1047619047619" style="148"/>
    <col min="6649" max="6649" width="7.33333333333333" style="148" customWidth="1"/>
    <col min="6650" max="6650" width="33.3333333333333" style="148" customWidth="1"/>
    <col min="6651" max="6651" width="12.552380952381" style="148" customWidth="1"/>
    <col min="6652" max="6652" width="11.6666666666667" style="148" customWidth="1"/>
    <col min="6653" max="6653" width="9.66666666666667" style="148" customWidth="1"/>
    <col min="6654" max="6654" width="10.3333333333333" style="148" customWidth="1"/>
    <col min="6655" max="6655" width="12.552380952381" style="148" customWidth="1"/>
    <col min="6656" max="6656" width="13.3333333333333" style="148" customWidth="1"/>
    <col min="6657" max="6657" width="18" style="148" customWidth="1"/>
    <col min="6658" max="6904" width="9.1047619047619" style="148"/>
    <col min="6905" max="6905" width="7.33333333333333" style="148" customWidth="1"/>
    <col min="6906" max="6906" width="33.3333333333333" style="148" customWidth="1"/>
    <col min="6907" max="6907" width="12.552380952381" style="148" customWidth="1"/>
    <col min="6908" max="6908" width="11.6666666666667" style="148" customWidth="1"/>
    <col min="6909" max="6909" width="9.66666666666667" style="148" customWidth="1"/>
    <col min="6910" max="6910" width="10.3333333333333" style="148" customWidth="1"/>
    <col min="6911" max="6911" width="12.552380952381" style="148" customWidth="1"/>
    <col min="6912" max="6912" width="13.3333333333333" style="148" customWidth="1"/>
    <col min="6913" max="6913" width="18" style="148" customWidth="1"/>
    <col min="6914" max="7160" width="9.1047619047619" style="148"/>
    <col min="7161" max="7161" width="7.33333333333333" style="148" customWidth="1"/>
    <col min="7162" max="7162" width="33.3333333333333" style="148" customWidth="1"/>
    <col min="7163" max="7163" width="12.552380952381" style="148" customWidth="1"/>
    <col min="7164" max="7164" width="11.6666666666667" style="148" customWidth="1"/>
    <col min="7165" max="7165" width="9.66666666666667" style="148" customWidth="1"/>
    <col min="7166" max="7166" width="10.3333333333333" style="148" customWidth="1"/>
    <col min="7167" max="7167" width="12.552380952381" style="148" customWidth="1"/>
    <col min="7168" max="7168" width="13.3333333333333" style="148" customWidth="1"/>
    <col min="7169" max="7169" width="18" style="148" customWidth="1"/>
    <col min="7170" max="7416" width="9.1047619047619" style="148"/>
    <col min="7417" max="7417" width="7.33333333333333" style="148" customWidth="1"/>
    <col min="7418" max="7418" width="33.3333333333333" style="148" customWidth="1"/>
    <col min="7419" max="7419" width="12.552380952381" style="148" customWidth="1"/>
    <col min="7420" max="7420" width="11.6666666666667" style="148" customWidth="1"/>
    <col min="7421" max="7421" width="9.66666666666667" style="148" customWidth="1"/>
    <col min="7422" max="7422" width="10.3333333333333" style="148" customWidth="1"/>
    <col min="7423" max="7423" width="12.552380952381" style="148" customWidth="1"/>
    <col min="7424" max="7424" width="13.3333333333333" style="148" customWidth="1"/>
    <col min="7425" max="7425" width="18" style="148" customWidth="1"/>
    <col min="7426" max="7672" width="9.1047619047619" style="148"/>
    <col min="7673" max="7673" width="7.33333333333333" style="148" customWidth="1"/>
    <col min="7674" max="7674" width="33.3333333333333" style="148" customWidth="1"/>
    <col min="7675" max="7675" width="12.552380952381" style="148" customWidth="1"/>
    <col min="7676" max="7676" width="11.6666666666667" style="148" customWidth="1"/>
    <col min="7677" max="7677" width="9.66666666666667" style="148" customWidth="1"/>
    <col min="7678" max="7678" width="10.3333333333333" style="148" customWidth="1"/>
    <col min="7679" max="7679" width="12.552380952381" style="148" customWidth="1"/>
    <col min="7680" max="7680" width="13.3333333333333" style="148" customWidth="1"/>
    <col min="7681" max="7681" width="18" style="148" customWidth="1"/>
    <col min="7682" max="7928" width="9.1047619047619" style="148"/>
    <col min="7929" max="7929" width="7.33333333333333" style="148" customWidth="1"/>
    <col min="7930" max="7930" width="33.3333333333333" style="148" customWidth="1"/>
    <col min="7931" max="7931" width="12.552380952381" style="148" customWidth="1"/>
    <col min="7932" max="7932" width="11.6666666666667" style="148" customWidth="1"/>
    <col min="7933" max="7933" width="9.66666666666667" style="148" customWidth="1"/>
    <col min="7934" max="7934" width="10.3333333333333" style="148" customWidth="1"/>
    <col min="7935" max="7935" width="12.552380952381" style="148" customWidth="1"/>
    <col min="7936" max="7936" width="13.3333333333333" style="148" customWidth="1"/>
    <col min="7937" max="7937" width="18" style="148" customWidth="1"/>
    <col min="7938" max="8184" width="9.1047619047619" style="148"/>
    <col min="8185" max="8185" width="7.33333333333333" style="148" customWidth="1"/>
    <col min="8186" max="8186" width="33.3333333333333" style="148" customWidth="1"/>
    <col min="8187" max="8187" width="12.552380952381" style="148" customWidth="1"/>
    <col min="8188" max="8188" width="11.6666666666667" style="148" customWidth="1"/>
    <col min="8189" max="8189" width="9.66666666666667" style="148" customWidth="1"/>
    <col min="8190" max="8190" width="10.3333333333333" style="148" customWidth="1"/>
    <col min="8191" max="8191" width="12.552380952381" style="148" customWidth="1"/>
    <col min="8192" max="8192" width="13.3333333333333" style="148" customWidth="1"/>
    <col min="8193" max="8193" width="18" style="148" customWidth="1"/>
    <col min="8194" max="8440" width="9.1047619047619" style="148"/>
    <col min="8441" max="8441" width="7.33333333333333" style="148" customWidth="1"/>
    <col min="8442" max="8442" width="33.3333333333333" style="148" customWidth="1"/>
    <col min="8443" max="8443" width="12.552380952381" style="148" customWidth="1"/>
    <col min="8444" max="8444" width="11.6666666666667" style="148" customWidth="1"/>
    <col min="8445" max="8445" width="9.66666666666667" style="148" customWidth="1"/>
    <col min="8446" max="8446" width="10.3333333333333" style="148" customWidth="1"/>
    <col min="8447" max="8447" width="12.552380952381" style="148" customWidth="1"/>
    <col min="8448" max="8448" width="13.3333333333333" style="148" customWidth="1"/>
    <col min="8449" max="8449" width="18" style="148" customWidth="1"/>
    <col min="8450" max="8696" width="9.1047619047619" style="148"/>
    <col min="8697" max="8697" width="7.33333333333333" style="148" customWidth="1"/>
    <col min="8698" max="8698" width="33.3333333333333" style="148" customWidth="1"/>
    <col min="8699" max="8699" width="12.552380952381" style="148" customWidth="1"/>
    <col min="8700" max="8700" width="11.6666666666667" style="148" customWidth="1"/>
    <col min="8701" max="8701" width="9.66666666666667" style="148" customWidth="1"/>
    <col min="8702" max="8702" width="10.3333333333333" style="148" customWidth="1"/>
    <col min="8703" max="8703" width="12.552380952381" style="148" customWidth="1"/>
    <col min="8704" max="8704" width="13.3333333333333" style="148" customWidth="1"/>
    <col min="8705" max="8705" width="18" style="148" customWidth="1"/>
    <col min="8706" max="8952" width="9.1047619047619" style="148"/>
    <col min="8953" max="8953" width="7.33333333333333" style="148" customWidth="1"/>
    <col min="8954" max="8954" width="33.3333333333333" style="148" customWidth="1"/>
    <col min="8955" max="8955" width="12.552380952381" style="148" customWidth="1"/>
    <col min="8956" max="8956" width="11.6666666666667" style="148" customWidth="1"/>
    <col min="8957" max="8957" width="9.66666666666667" style="148" customWidth="1"/>
    <col min="8958" max="8958" width="10.3333333333333" style="148" customWidth="1"/>
    <col min="8959" max="8959" width="12.552380952381" style="148" customWidth="1"/>
    <col min="8960" max="8960" width="13.3333333333333" style="148" customWidth="1"/>
    <col min="8961" max="8961" width="18" style="148" customWidth="1"/>
    <col min="8962" max="9208" width="9.1047619047619" style="148"/>
    <col min="9209" max="9209" width="7.33333333333333" style="148" customWidth="1"/>
    <col min="9210" max="9210" width="33.3333333333333" style="148" customWidth="1"/>
    <col min="9211" max="9211" width="12.552380952381" style="148" customWidth="1"/>
    <col min="9212" max="9212" width="11.6666666666667" style="148" customWidth="1"/>
    <col min="9213" max="9213" width="9.66666666666667" style="148" customWidth="1"/>
    <col min="9214" max="9214" width="10.3333333333333" style="148" customWidth="1"/>
    <col min="9215" max="9215" width="12.552380952381" style="148" customWidth="1"/>
    <col min="9216" max="9216" width="13.3333333333333" style="148" customWidth="1"/>
    <col min="9217" max="9217" width="18" style="148" customWidth="1"/>
    <col min="9218" max="9464" width="9.1047619047619" style="148"/>
    <col min="9465" max="9465" width="7.33333333333333" style="148" customWidth="1"/>
    <col min="9466" max="9466" width="33.3333333333333" style="148" customWidth="1"/>
    <col min="9467" max="9467" width="12.552380952381" style="148" customWidth="1"/>
    <col min="9468" max="9468" width="11.6666666666667" style="148" customWidth="1"/>
    <col min="9469" max="9469" width="9.66666666666667" style="148" customWidth="1"/>
    <col min="9470" max="9470" width="10.3333333333333" style="148" customWidth="1"/>
    <col min="9471" max="9471" width="12.552380952381" style="148" customWidth="1"/>
    <col min="9472" max="9472" width="13.3333333333333" style="148" customWidth="1"/>
    <col min="9473" max="9473" width="18" style="148" customWidth="1"/>
    <col min="9474" max="9720" width="9.1047619047619" style="148"/>
    <col min="9721" max="9721" width="7.33333333333333" style="148" customWidth="1"/>
    <col min="9722" max="9722" width="33.3333333333333" style="148" customWidth="1"/>
    <col min="9723" max="9723" width="12.552380952381" style="148" customWidth="1"/>
    <col min="9724" max="9724" width="11.6666666666667" style="148" customWidth="1"/>
    <col min="9725" max="9725" width="9.66666666666667" style="148" customWidth="1"/>
    <col min="9726" max="9726" width="10.3333333333333" style="148" customWidth="1"/>
    <col min="9727" max="9727" width="12.552380952381" style="148" customWidth="1"/>
    <col min="9728" max="9728" width="13.3333333333333" style="148" customWidth="1"/>
    <col min="9729" max="9729" width="18" style="148" customWidth="1"/>
    <col min="9730" max="9976" width="9.1047619047619" style="148"/>
    <col min="9977" max="9977" width="7.33333333333333" style="148" customWidth="1"/>
    <col min="9978" max="9978" width="33.3333333333333" style="148" customWidth="1"/>
    <col min="9979" max="9979" width="12.552380952381" style="148" customWidth="1"/>
    <col min="9980" max="9980" width="11.6666666666667" style="148" customWidth="1"/>
    <col min="9981" max="9981" width="9.66666666666667" style="148" customWidth="1"/>
    <col min="9982" max="9982" width="10.3333333333333" style="148" customWidth="1"/>
    <col min="9983" max="9983" width="12.552380952381" style="148" customWidth="1"/>
    <col min="9984" max="9984" width="13.3333333333333" style="148" customWidth="1"/>
    <col min="9985" max="9985" width="18" style="148" customWidth="1"/>
    <col min="9986" max="10232" width="9.1047619047619" style="148"/>
    <col min="10233" max="10233" width="7.33333333333333" style="148" customWidth="1"/>
    <col min="10234" max="10234" width="33.3333333333333" style="148" customWidth="1"/>
    <col min="10235" max="10235" width="12.552380952381" style="148" customWidth="1"/>
    <col min="10236" max="10236" width="11.6666666666667" style="148" customWidth="1"/>
    <col min="10237" max="10237" width="9.66666666666667" style="148" customWidth="1"/>
    <col min="10238" max="10238" width="10.3333333333333" style="148" customWidth="1"/>
    <col min="10239" max="10239" width="12.552380952381" style="148" customWidth="1"/>
    <col min="10240" max="10240" width="13.3333333333333" style="148" customWidth="1"/>
    <col min="10241" max="10241" width="18" style="148" customWidth="1"/>
    <col min="10242" max="10488" width="9.1047619047619" style="148"/>
    <col min="10489" max="10489" width="7.33333333333333" style="148" customWidth="1"/>
    <col min="10490" max="10490" width="33.3333333333333" style="148" customWidth="1"/>
    <col min="10491" max="10491" width="12.552380952381" style="148" customWidth="1"/>
    <col min="10492" max="10492" width="11.6666666666667" style="148" customWidth="1"/>
    <col min="10493" max="10493" width="9.66666666666667" style="148" customWidth="1"/>
    <col min="10494" max="10494" width="10.3333333333333" style="148" customWidth="1"/>
    <col min="10495" max="10495" width="12.552380952381" style="148" customWidth="1"/>
    <col min="10496" max="10496" width="13.3333333333333" style="148" customWidth="1"/>
    <col min="10497" max="10497" width="18" style="148" customWidth="1"/>
    <col min="10498" max="10744" width="9.1047619047619" style="148"/>
    <col min="10745" max="10745" width="7.33333333333333" style="148" customWidth="1"/>
    <col min="10746" max="10746" width="33.3333333333333" style="148" customWidth="1"/>
    <col min="10747" max="10747" width="12.552380952381" style="148" customWidth="1"/>
    <col min="10748" max="10748" width="11.6666666666667" style="148" customWidth="1"/>
    <col min="10749" max="10749" width="9.66666666666667" style="148" customWidth="1"/>
    <col min="10750" max="10750" width="10.3333333333333" style="148" customWidth="1"/>
    <col min="10751" max="10751" width="12.552380952381" style="148" customWidth="1"/>
    <col min="10752" max="10752" width="13.3333333333333" style="148" customWidth="1"/>
    <col min="10753" max="10753" width="18" style="148" customWidth="1"/>
    <col min="10754" max="11000" width="9.1047619047619" style="148"/>
    <col min="11001" max="11001" width="7.33333333333333" style="148" customWidth="1"/>
    <col min="11002" max="11002" width="33.3333333333333" style="148" customWidth="1"/>
    <col min="11003" max="11003" width="12.552380952381" style="148" customWidth="1"/>
    <col min="11004" max="11004" width="11.6666666666667" style="148" customWidth="1"/>
    <col min="11005" max="11005" width="9.66666666666667" style="148" customWidth="1"/>
    <col min="11006" max="11006" width="10.3333333333333" style="148" customWidth="1"/>
    <col min="11007" max="11007" width="12.552380952381" style="148" customWidth="1"/>
    <col min="11008" max="11008" width="13.3333333333333" style="148" customWidth="1"/>
    <col min="11009" max="11009" width="18" style="148" customWidth="1"/>
    <col min="11010" max="11256" width="9.1047619047619" style="148"/>
    <col min="11257" max="11257" width="7.33333333333333" style="148" customWidth="1"/>
    <col min="11258" max="11258" width="33.3333333333333" style="148" customWidth="1"/>
    <col min="11259" max="11259" width="12.552380952381" style="148" customWidth="1"/>
    <col min="11260" max="11260" width="11.6666666666667" style="148" customWidth="1"/>
    <col min="11261" max="11261" width="9.66666666666667" style="148" customWidth="1"/>
    <col min="11262" max="11262" width="10.3333333333333" style="148" customWidth="1"/>
    <col min="11263" max="11263" width="12.552380952381" style="148" customWidth="1"/>
    <col min="11264" max="11264" width="13.3333333333333" style="148" customWidth="1"/>
    <col min="11265" max="11265" width="18" style="148" customWidth="1"/>
    <col min="11266" max="11512" width="9.1047619047619" style="148"/>
    <col min="11513" max="11513" width="7.33333333333333" style="148" customWidth="1"/>
    <col min="11514" max="11514" width="33.3333333333333" style="148" customWidth="1"/>
    <col min="11515" max="11515" width="12.552380952381" style="148" customWidth="1"/>
    <col min="11516" max="11516" width="11.6666666666667" style="148" customWidth="1"/>
    <col min="11517" max="11517" width="9.66666666666667" style="148" customWidth="1"/>
    <col min="11518" max="11518" width="10.3333333333333" style="148" customWidth="1"/>
    <col min="11519" max="11519" width="12.552380952381" style="148" customWidth="1"/>
    <col min="11520" max="11520" width="13.3333333333333" style="148" customWidth="1"/>
    <col min="11521" max="11521" width="18" style="148" customWidth="1"/>
    <col min="11522" max="11768" width="9.1047619047619" style="148"/>
    <col min="11769" max="11769" width="7.33333333333333" style="148" customWidth="1"/>
    <col min="11770" max="11770" width="33.3333333333333" style="148" customWidth="1"/>
    <col min="11771" max="11771" width="12.552380952381" style="148" customWidth="1"/>
    <col min="11772" max="11772" width="11.6666666666667" style="148" customWidth="1"/>
    <col min="11773" max="11773" width="9.66666666666667" style="148" customWidth="1"/>
    <col min="11774" max="11774" width="10.3333333333333" style="148" customWidth="1"/>
    <col min="11775" max="11775" width="12.552380952381" style="148" customWidth="1"/>
    <col min="11776" max="11776" width="13.3333333333333" style="148" customWidth="1"/>
    <col min="11777" max="11777" width="18" style="148" customWidth="1"/>
    <col min="11778" max="12024" width="9.1047619047619" style="148"/>
    <col min="12025" max="12025" width="7.33333333333333" style="148" customWidth="1"/>
    <col min="12026" max="12026" width="33.3333333333333" style="148" customWidth="1"/>
    <col min="12027" max="12027" width="12.552380952381" style="148" customWidth="1"/>
    <col min="12028" max="12028" width="11.6666666666667" style="148" customWidth="1"/>
    <col min="12029" max="12029" width="9.66666666666667" style="148" customWidth="1"/>
    <col min="12030" max="12030" width="10.3333333333333" style="148" customWidth="1"/>
    <col min="12031" max="12031" width="12.552380952381" style="148" customWidth="1"/>
    <col min="12032" max="12032" width="13.3333333333333" style="148" customWidth="1"/>
    <col min="12033" max="12033" width="18" style="148" customWidth="1"/>
    <col min="12034" max="12280" width="9.1047619047619" style="148"/>
    <col min="12281" max="12281" width="7.33333333333333" style="148" customWidth="1"/>
    <col min="12282" max="12282" width="33.3333333333333" style="148" customWidth="1"/>
    <col min="12283" max="12283" width="12.552380952381" style="148" customWidth="1"/>
    <col min="12284" max="12284" width="11.6666666666667" style="148" customWidth="1"/>
    <col min="12285" max="12285" width="9.66666666666667" style="148" customWidth="1"/>
    <col min="12286" max="12286" width="10.3333333333333" style="148" customWidth="1"/>
    <col min="12287" max="12287" width="12.552380952381" style="148" customWidth="1"/>
    <col min="12288" max="12288" width="13.3333333333333" style="148" customWidth="1"/>
    <col min="12289" max="12289" width="18" style="148" customWidth="1"/>
    <col min="12290" max="12536" width="9.1047619047619" style="148"/>
    <col min="12537" max="12537" width="7.33333333333333" style="148" customWidth="1"/>
    <col min="12538" max="12538" width="33.3333333333333" style="148" customWidth="1"/>
    <col min="12539" max="12539" width="12.552380952381" style="148" customWidth="1"/>
    <col min="12540" max="12540" width="11.6666666666667" style="148" customWidth="1"/>
    <col min="12541" max="12541" width="9.66666666666667" style="148" customWidth="1"/>
    <col min="12542" max="12542" width="10.3333333333333" style="148" customWidth="1"/>
    <col min="12543" max="12543" width="12.552380952381" style="148" customWidth="1"/>
    <col min="12544" max="12544" width="13.3333333333333" style="148" customWidth="1"/>
    <col min="12545" max="12545" width="18" style="148" customWidth="1"/>
    <col min="12546" max="12792" width="9.1047619047619" style="148"/>
    <col min="12793" max="12793" width="7.33333333333333" style="148" customWidth="1"/>
    <col min="12794" max="12794" width="33.3333333333333" style="148" customWidth="1"/>
    <col min="12795" max="12795" width="12.552380952381" style="148" customWidth="1"/>
    <col min="12796" max="12796" width="11.6666666666667" style="148" customWidth="1"/>
    <col min="12797" max="12797" width="9.66666666666667" style="148" customWidth="1"/>
    <col min="12798" max="12798" width="10.3333333333333" style="148" customWidth="1"/>
    <col min="12799" max="12799" width="12.552380952381" style="148" customWidth="1"/>
    <col min="12800" max="12800" width="13.3333333333333" style="148" customWidth="1"/>
    <col min="12801" max="12801" width="18" style="148" customWidth="1"/>
    <col min="12802" max="13048" width="9.1047619047619" style="148"/>
    <col min="13049" max="13049" width="7.33333333333333" style="148" customWidth="1"/>
    <col min="13050" max="13050" width="33.3333333333333" style="148" customWidth="1"/>
    <col min="13051" max="13051" width="12.552380952381" style="148" customWidth="1"/>
    <col min="13052" max="13052" width="11.6666666666667" style="148" customWidth="1"/>
    <col min="13053" max="13053" width="9.66666666666667" style="148" customWidth="1"/>
    <col min="13054" max="13054" width="10.3333333333333" style="148" customWidth="1"/>
    <col min="13055" max="13055" width="12.552380952381" style="148" customWidth="1"/>
    <col min="13056" max="13056" width="13.3333333333333" style="148" customWidth="1"/>
    <col min="13057" max="13057" width="18" style="148" customWidth="1"/>
    <col min="13058" max="13304" width="9.1047619047619" style="148"/>
    <col min="13305" max="13305" width="7.33333333333333" style="148" customWidth="1"/>
    <col min="13306" max="13306" width="33.3333333333333" style="148" customWidth="1"/>
    <col min="13307" max="13307" width="12.552380952381" style="148" customWidth="1"/>
    <col min="13308" max="13308" width="11.6666666666667" style="148" customWidth="1"/>
    <col min="13309" max="13309" width="9.66666666666667" style="148" customWidth="1"/>
    <col min="13310" max="13310" width="10.3333333333333" style="148" customWidth="1"/>
    <col min="13311" max="13311" width="12.552380952381" style="148" customWidth="1"/>
    <col min="13312" max="13312" width="13.3333333333333" style="148" customWidth="1"/>
    <col min="13313" max="13313" width="18" style="148" customWidth="1"/>
    <col min="13314" max="13560" width="9.1047619047619" style="148"/>
    <col min="13561" max="13561" width="7.33333333333333" style="148" customWidth="1"/>
    <col min="13562" max="13562" width="33.3333333333333" style="148" customWidth="1"/>
    <col min="13563" max="13563" width="12.552380952381" style="148" customWidth="1"/>
    <col min="13564" max="13564" width="11.6666666666667" style="148" customWidth="1"/>
    <col min="13565" max="13565" width="9.66666666666667" style="148" customWidth="1"/>
    <col min="13566" max="13566" width="10.3333333333333" style="148" customWidth="1"/>
    <col min="13567" max="13567" width="12.552380952381" style="148" customWidth="1"/>
    <col min="13568" max="13568" width="13.3333333333333" style="148" customWidth="1"/>
    <col min="13569" max="13569" width="18" style="148" customWidth="1"/>
    <col min="13570" max="13816" width="9.1047619047619" style="148"/>
    <col min="13817" max="13817" width="7.33333333333333" style="148" customWidth="1"/>
    <col min="13818" max="13818" width="33.3333333333333" style="148" customWidth="1"/>
    <col min="13819" max="13819" width="12.552380952381" style="148" customWidth="1"/>
    <col min="13820" max="13820" width="11.6666666666667" style="148" customWidth="1"/>
    <col min="13821" max="13821" width="9.66666666666667" style="148" customWidth="1"/>
    <col min="13822" max="13822" width="10.3333333333333" style="148" customWidth="1"/>
    <col min="13823" max="13823" width="12.552380952381" style="148" customWidth="1"/>
    <col min="13824" max="13824" width="13.3333333333333" style="148" customWidth="1"/>
    <col min="13825" max="13825" width="18" style="148" customWidth="1"/>
    <col min="13826" max="14072" width="9.1047619047619" style="148"/>
    <col min="14073" max="14073" width="7.33333333333333" style="148" customWidth="1"/>
    <col min="14074" max="14074" width="33.3333333333333" style="148" customWidth="1"/>
    <col min="14075" max="14075" width="12.552380952381" style="148" customWidth="1"/>
    <col min="14076" max="14076" width="11.6666666666667" style="148" customWidth="1"/>
    <col min="14077" max="14077" width="9.66666666666667" style="148" customWidth="1"/>
    <col min="14078" max="14078" width="10.3333333333333" style="148" customWidth="1"/>
    <col min="14079" max="14079" width="12.552380952381" style="148" customWidth="1"/>
    <col min="14080" max="14080" width="13.3333333333333" style="148" customWidth="1"/>
    <col min="14081" max="14081" width="18" style="148" customWidth="1"/>
    <col min="14082" max="14328" width="9.1047619047619" style="148"/>
    <col min="14329" max="14329" width="7.33333333333333" style="148" customWidth="1"/>
    <col min="14330" max="14330" width="33.3333333333333" style="148" customWidth="1"/>
    <col min="14331" max="14331" width="12.552380952381" style="148" customWidth="1"/>
    <col min="14332" max="14332" width="11.6666666666667" style="148" customWidth="1"/>
    <col min="14333" max="14333" width="9.66666666666667" style="148" customWidth="1"/>
    <col min="14334" max="14334" width="10.3333333333333" style="148" customWidth="1"/>
    <col min="14335" max="14335" width="12.552380952381" style="148" customWidth="1"/>
    <col min="14336" max="14336" width="13.3333333333333" style="148" customWidth="1"/>
    <col min="14337" max="14337" width="18" style="148" customWidth="1"/>
    <col min="14338" max="14584" width="9.1047619047619" style="148"/>
    <col min="14585" max="14585" width="7.33333333333333" style="148" customWidth="1"/>
    <col min="14586" max="14586" width="33.3333333333333" style="148" customWidth="1"/>
    <col min="14587" max="14587" width="12.552380952381" style="148" customWidth="1"/>
    <col min="14588" max="14588" width="11.6666666666667" style="148" customWidth="1"/>
    <col min="14589" max="14589" width="9.66666666666667" style="148" customWidth="1"/>
    <col min="14590" max="14590" width="10.3333333333333" style="148" customWidth="1"/>
    <col min="14591" max="14591" width="12.552380952381" style="148" customWidth="1"/>
    <col min="14592" max="14592" width="13.3333333333333" style="148" customWidth="1"/>
    <col min="14593" max="14593" width="18" style="148" customWidth="1"/>
    <col min="14594" max="14840" width="9.1047619047619" style="148"/>
    <col min="14841" max="14841" width="7.33333333333333" style="148" customWidth="1"/>
    <col min="14842" max="14842" width="33.3333333333333" style="148" customWidth="1"/>
    <col min="14843" max="14843" width="12.552380952381" style="148" customWidth="1"/>
    <col min="14844" max="14844" width="11.6666666666667" style="148" customWidth="1"/>
    <col min="14845" max="14845" width="9.66666666666667" style="148" customWidth="1"/>
    <col min="14846" max="14846" width="10.3333333333333" style="148" customWidth="1"/>
    <col min="14847" max="14847" width="12.552380952381" style="148" customWidth="1"/>
    <col min="14848" max="14848" width="13.3333333333333" style="148" customWidth="1"/>
    <col min="14849" max="14849" width="18" style="148" customWidth="1"/>
    <col min="14850" max="15096" width="9.1047619047619" style="148"/>
    <col min="15097" max="15097" width="7.33333333333333" style="148" customWidth="1"/>
    <col min="15098" max="15098" width="33.3333333333333" style="148" customWidth="1"/>
    <col min="15099" max="15099" width="12.552380952381" style="148" customWidth="1"/>
    <col min="15100" max="15100" width="11.6666666666667" style="148" customWidth="1"/>
    <col min="15101" max="15101" width="9.66666666666667" style="148" customWidth="1"/>
    <col min="15102" max="15102" width="10.3333333333333" style="148" customWidth="1"/>
    <col min="15103" max="15103" width="12.552380952381" style="148" customWidth="1"/>
    <col min="15104" max="15104" width="13.3333333333333" style="148" customWidth="1"/>
    <col min="15105" max="15105" width="18" style="148" customWidth="1"/>
    <col min="15106" max="15352" width="9.1047619047619" style="148"/>
    <col min="15353" max="15353" width="7.33333333333333" style="148" customWidth="1"/>
    <col min="15354" max="15354" width="33.3333333333333" style="148" customWidth="1"/>
    <col min="15355" max="15355" width="12.552380952381" style="148" customWidth="1"/>
    <col min="15356" max="15356" width="11.6666666666667" style="148" customWidth="1"/>
    <col min="15357" max="15357" width="9.66666666666667" style="148" customWidth="1"/>
    <col min="15358" max="15358" width="10.3333333333333" style="148" customWidth="1"/>
    <col min="15359" max="15359" width="12.552380952381" style="148" customWidth="1"/>
    <col min="15360" max="15360" width="13.3333333333333" style="148" customWidth="1"/>
    <col min="15361" max="15361" width="18" style="148" customWidth="1"/>
    <col min="15362" max="15608" width="9.1047619047619" style="148"/>
    <col min="15609" max="15609" width="7.33333333333333" style="148" customWidth="1"/>
    <col min="15610" max="15610" width="33.3333333333333" style="148" customWidth="1"/>
    <col min="15611" max="15611" width="12.552380952381" style="148" customWidth="1"/>
    <col min="15612" max="15612" width="11.6666666666667" style="148" customWidth="1"/>
    <col min="15613" max="15613" width="9.66666666666667" style="148" customWidth="1"/>
    <col min="15614" max="15614" width="10.3333333333333" style="148" customWidth="1"/>
    <col min="15615" max="15615" width="12.552380952381" style="148" customWidth="1"/>
    <col min="15616" max="15616" width="13.3333333333333" style="148" customWidth="1"/>
    <col min="15617" max="15617" width="18" style="148" customWidth="1"/>
    <col min="15618" max="15864" width="9.1047619047619" style="148"/>
    <col min="15865" max="15865" width="7.33333333333333" style="148" customWidth="1"/>
    <col min="15866" max="15866" width="33.3333333333333" style="148" customWidth="1"/>
    <col min="15867" max="15867" width="12.552380952381" style="148" customWidth="1"/>
    <col min="15868" max="15868" width="11.6666666666667" style="148" customWidth="1"/>
    <col min="15869" max="15869" width="9.66666666666667" style="148" customWidth="1"/>
    <col min="15870" max="15870" width="10.3333333333333" style="148" customWidth="1"/>
    <col min="15871" max="15871" width="12.552380952381" style="148" customWidth="1"/>
    <col min="15872" max="15872" width="13.3333333333333" style="148" customWidth="1"/>
    <col min="15873" max="15873" width="18" style="148" customWidth="1"/>
    <col min="15874" max="16120" width="9.1047619047619" style="148"/>
    <col min="16121" max="16121" width="7.33333333333333" style="148" customWidth="1"/>
    <col min="16122" max="16122" width="33.3333333333333" style="148" customWidth="1"/>
    <col min="16123" max="16123" width="12.552380952381" style="148" customWidth="1"/>
    <col min="16124" max="16124" width="11.6666666666667" style="148" customWidth="1"/>
    <col min="16125" max="16125" width="9.66666666666667" style="148" customWidth="1"/>
    <col min="16126" max="16126" width="10.3333333333333" style="148" customWidth="1"/>
    <col min="16127" max="16127" width="12.552380952381" style="148" customWidth="1"/>
    <col min="16128" max="16128" width="13.3333333333333" style="148" customWidth="1"/>
    <col min="16129" max="16129" width="18" style="148" customWidth="1"/>
    <col min="16130" max="16384" width="9.1047619047619" style="148"/>
  </cols>
  <sheetData>
    <row r="1" s="143" customFormat="1" ht="40.8" customHeight="1" spans="1:6">
      <c r="A1" s="151" t="s">
        <v>0</v>
      </c>
      <c r="B1" s="151"/>
      <c r="C1" s="151"/>
      <c r="D1" s="151"/>
      <c r="E1" s="151"/>
      <c r="F1" s="151"/>
    </row>
    <row r="2" s="144" customFormat="1" ht="24.6" customHeight="1" spans="1:6">
      <c r="A2" s="152" t="s">
        <v>1</v>
      </c>
      <c r="B2" s="153" t="s">
        <v>2</v>
      </c>
      <c r="C2" s="153" t="s">
        <v>3</v>
      </c>
      <c r="D2" s="153" t="s">
        <v>4</v>
      </c>
      <c r="E2" s="154" t="s">
        <v>5</v>
      </c>
      <c r="F2" s="154" t="s">
        <v>6</v>
      </c>
    </row>
    <row r="3" s="144" customFormat="1" ht="19.2" customHeight="1" spans="1:6">
      <c r="A3" s="155" t="s">
        <v>7</v>
      </c>
      <c r="B3" s="156"/>
      <c r="C3" s="156"/>
      <c r="D3" s="156"/>
      <c r="E3" s="156"/>
      <c r="F3" s="157"/>
    </row>
    <row r="4" customHeight="1" spans="1:6">
      <c r="A4" s="158">
        <v>1</v>
      </c>
      <c r="B4" s="159" t="s">
        <v>8</v>
      </c>
      <c r="C4" s="160" t="s">
        <v>9</v>
      </c>
      <c r="D4" s="161" t="s">
        <v>10</v>
      </c>
      <c r="E4" s="162">
        <v>531100</v>
      </c>
      <c r="F4" s="163"/>
    </row>
    <row r="5" customHeight="1" spans="1:6">
      <c r="A5" s="158">
        <v>2</v>
      </c>
      <c r="B5" s="159" t="s">
        <v>11</v>
      </c>
      <c r="C5" s="160" t="s">
        <v>12</v>
      </c>
      <c r="D5" s="161" t="s">
        <v>10</v>
      </c>
      <c r="E5" s="162">
        <v>5564</v>
      </c>
      <c r="F5" s="163"/>
    </row>
    <row r="6" customHeight="1" spans="1:6">
      <c r="A6" s="158">
        <v>3</v>
      </c>
      <c r="B6" s="159" t="s">
        <v>13</v>
      </c>
      <c r="C6" s="160" t="s">
        <v>14</v>
      </c>
      <c r="D6" s="161" t="s">
        <v>10</v>
      </c>
      <c r="E6" s="162">
        <v>5564</v>
      </c>
      <c r="F6" s="163"/>
    </row>
    <row r="7" customHeight="1" spans="1:6">
      <c r="A7" s="158">
        <v>4</v>
      </c>
      <c r="B7" s="159" t="s">
        <v>15</v>
      </c>
      <c r="C7" s="160" t="s">
        <v>16</v>
      </c>
      <c r="D7" s="161" t="s">
        <v>10</v>
      </c>
      <c r="E7" s="162">
        <v>5564</v>
      </c>
      <c r="F7" s="163"/>
    </row>
    <row r="8" customHeight="1" spans="1:6">
      <c r="A8" s="158">
        <v>5</v>
      </c>
      <c r="B8" s="159" t="s">
        <v>17</v>
      </c>
      <c r="C8" s="160" t="s">
        <v>18</v>
      </c>
      <c r="D8" s="161" t="s">
        <v>10</v>
      </c>
      <c r="E8" s="162">
        <v>5564</v>
      </c>
      <c r="F8" s="163"/>
    </row>
    <row r="9" customHeight="1" spans="1:6">
      <c r="A9" s="158">
        <v>6</v>
      </c>
      <c r="B9" s="159" t="s">
        <v>19</v>
      </c>
      <c r="C9" s="160" t="s">
        <v>20</v>
      </c>
      <c r="D9" s="161" t="s">
        <v>10</v>
      </c>
      <c r="E9" s="162">
        <v>5564</v>
      </c>
      <c r="F9" s="163"/>
    </row>
    <row r="10" customHeight="1" spans="1:6">
      <c r="A10" s="158">
        <v>7</v>
      </c>
      <c r="B10" s="159" t="s">
        <v>21</v>
      </c>
      <c r="C10" s="160" t="s">
        <v>22</v>
      </c>
      <c r="D10" s="161" t="s">
        <v>10</v>
      </c>
      <c r="E10" s="162">
        <v>5564</v>
      </c>
      <c r="F10" s="163"/>
    </row>
    <row r="11" customHeight="1" spans="1:6">
      <c r="A11" s="158">
        <v>8</v>
      </c>
      <c r="B11" s="159" t="s">
        <v>23</v>
      </c>
      <c r="C11" s="160" t="s">
        <v>24</v>
      </c>
      <c r="D11" s="161" t="s">
        <v>10</v>
      </c>
      <c r="E11" s="162">
        <v>5564</v>
      </c>
      <c r="F11" s="163"/>
    </row>
    <row r="12" customHeight="1" spans="1:6">
      <c r="A12" s="158">
        <v>9</v>
      </c>
      <c r="B12" s="159" t="s">
        <v>25</v>
      </c>
      <c r="C12" s="160" t="s">
        <v>26</v>
      </c>
      <c r="D12" s="161" t="s">
        <v>10</v>
      </c>
      <c r="E12" s="162">
        <v>5564</v>
      </c>
      <c r="F12" s="163"/>
    </row>
    <row r="13" customHeight="1" spans="1:6">
      <c r="A13" s="158">
        <v>10</v>
      </c>
      <c r="B13" s="159" t="s">
        <v>27</v>
      </c>
      <c r="C13" s="160" t="s">
        <v>28</v>
      </c>
      <c r="D13" s="161" t="s">
        <v>10</v>
      </c>
      <c r="E13" s="162"/>
      <c r="F13" s="163"/>
    </row>
    <row r="14" customHeight="1" spans="1:6">
      <c r="A14" s="158">
        <v>11</v>
      </c>
      <c r="B14" s="159" t="s">
        <v>29</v>
      </c>
      <c r="C14" s="160" t="s">
        <v>30</v>
      </c>
      <c r="D14" s="161" t="s">
        <v>10</v>
      </c>
      <c r="E14" s="162"/>
      <c r="F14" s="163"/>
    </row>
    <row r="15" customHeight="1" spans="1:6">
      <c r="A15" s="158">
        <v>12</v>
      </c>
      <c r="B15" s="159" t="s">
        <v>31</v>
      </c>
      <c r="C15" s="164" t="s">
        <v>32</v>
      </c>
      <c r="D15" s="161" t="s">
        <v>10</v>
      </c>
      <c r="E15" s="162"/>
      <c r="F15" s="163"/>
    </row>
    <row r="16" customHeight="1" spans="1:6">
      <c r="A16" s="158">
        <v>13</v>
      </c>
      <c r="B16" s="159" t="s">
        <v>33</v>
      </c>
      <c r="C16" s="164" t="s">
        <v>34</v>
      </c>
      <c r="D16" s="161" t="s">
        <v>10</v>
      </c>
      <c r="E16" s="162"/>
      <c r="F16" s="163"/>
    </row>
    <row r="17" customHeight="1" spans="1:6">
      <c r="A17" s="158">
        <v>14</v>
      </c>
      <c r="B17" s="159" t="s">
        <v>35</v>
      </c>
      <c r="C17" s="160" t="s">
        <v>36</v>
      </c>
      <c r="D17" s="161" t="s">
        <v>10</v>
      </c>
      <c r="E17" s="162"/>
      <c r="F17" s="163"/>
    </row>
    <row r="18" customHeight="1" spans="1:6">
      <c r="A18" s="158">
        <v>15</v>
      </c>
      <c r="B18" s="159" t="s">
        <v>37</v>
      </c>
      <c r="C18" s="160" t="s">
        <v>38</v>
      </c>
      <c r="D18" s="161" t="s">
        <v>10</v>
      </c>
      <c r="E18" s="162"/>
      <c r="F18" s="163"/>
    </row>
    <row r="19" customHeight="1" spans="1:6">
      <c r="A19" s="158">
        <v>16</v>
      </c>
      <c r="B19" s="159" t="s">
        <v>39</v>
      </c>
      <c r="C19" s="160" t="s">
        <v>40</v>
      </c>
      <c r="D19" s="161" t="s">
        <v>10</v>
      </c>
      <c r="E19" s="162"/>
      <c r="F19" s="163"/>
    </row>
    <row r="20" customHeight="1" spans="1:6">
      <c r="A20" s="158">
        <v>17</v>
      </c>
      <c r="B20" s="159" t="s">
        <v>41</v>
      </c>
      <c r="C20" s="160" t="s">
        <v>42</v>
      </c>
      <c r="D20" s="161" t="s">
        <v>10</v>
      </c>
      <c r="E20" s="162"/>
      <c r="F20" s="163"/>
    </row>
    <row r="21" customHeight="1" spans="1:6">
      <c r="A21" s="158">
        <v>18</v>
      </c>
      <c r="B21" s="165"/>
      <c r="C21" s="160" t="s">
        <v>43</v>
      </c>
      <c r="D21" s="161" t="s">
        <v>10</v>
      </c>
      <c r="E21" s="162"/>
      <c r="F21" s="163"/>
    </row>
    <row r="22" customHeight="1" spans="1:6">
      <c r="A22" s="158">
        <v>19</v>
      </c>
      <c r="B22" s="165"/>
      <c r="C22" s="160" t="s">
        <v>44</v>
      </c>
      <c r="D22" s="161" t="s">
        <v>10</v>
      </c>
      <c r="E22" s="162"/>
      <c r="F22" s="163"/>
    </row>
    <row r="23" customHeight="1" spans="1:6">
      <c r="A23" s="158">
        <v>20</v>
      </c>
      <c r="B23" s="165"/>
      <c r="C23" s="160" t="s">
        <v>45</v>
      </c>
      <c r="D23" s="161" t="s">
        <v>10</v>
      </c>
      <c r="E23" s="162"/>
      <c r="F23" s="163"/>
    </row>
    <row r="24" customHeight="1" spans="1:6">
      <c r="A24" s="158">
        <v>21</v>
      </c>
      <c r="B24" s="159"/>
      <c r="C24" s="160" t="s">
        <v>46</v>
      </c>
      <c r="D24" s="161" t="s">
        <v>10</v>
      </c>
      <c r="E24" s="162"/>
      <c r="F24" s="163"/>
    </row>
    <row r="25" customHeight="1" spans="1:6">
      <c r="A25" s="158">
        <v>22</v>
      </c>
      <c r="B25" s="165"/>
      <c r="C25" s="160" t="s">
        <v>47</v>
      </c>
      <c r="D25" s="161" t="s">
        <v>10</v>
      </c>
      <c r="E25" s="162"/>
      <c r="F25" s="163"/>
    </row>
    <row r="26" customHeight="1" spans="1:6">
      <c r="A26" s="158">
        <v>23</v>
      </c>
      <c r="B26" s="165"/>
      <c r="C26" s="160" t="s">
        <v>48</v>
      </c>
      <c r="D26" s="161" t="s">
        <v>10</v>
      </c>
      <c r="E26" s="162"/>
      <c r="F26" s="163"/>
    </row>
    <row r="27" customHeight="1" spans="1:6">
      <c r="A27" s="158">
        <v>24</v>
      </c>
      <c r="B27" s="165"/>
      <c r="C27" s="160" t="s">
        <v>49</v>
      </c>
      <c r="D27" s="161" t="s">
        <v>10</v>
      </c>
      <c r="E27" s="162"/>
      <c r="F27" s="163"/>
    </row>
    <row r="28" customHeight="1" spans="1:6">
      <c r="A28" s="158">
        <v>25</v>
      </c>
      <c r="B28" s="165"/>
      <c r="C28" s="160" t="s">
        <v>50</v>
      </c>
      <c r="D28" s="161" t="s">
        <v>10</v>
      </c>
      <c r="E28" s="162"/>
      <c r="F28" s="163"/>
    </row>
    <row r="29" customHeight="1" spans="1:6">
      <c r="A29" s="158">
        <v>26</v>
      </c>
      <c r="B29" s="165"/>
      <c r="C29" s="160" t="s">
        <v>51</v>
      </c>
      <c r="D29" s="161" t="s">
        <v>10</v>
      </c>
      <c r="E29" s="162"/>
      <c r="F29" s="163"/>
    </row>
    <row r="30" customHeight="1" spans="1:6">
      <c r="A30" s="158">
        <v>27</v>
      </c>
      <c r="B30" s="159"/>
      <c r="C30" s="160" t="s">
        <v>52</v>
      </c>
      <c r="D30" s="161" t="s">
        <v>10</v>
      </c>
      <c r="E30" s="162"/>
      <c r="F30" s="163"/>
    </row>
    <row r="31" customHeight="1" spans="1:6">
      <c r="A31" s="158">
        <v>28</v>
      </c>
      <c r="B31" s="165"/>
      <c r="C31" s="164" t="s">
        <v>53</v>
      </c>
      <c r="D31" s="161" t="s">
        <v>10</v>
      </c>
      <c r="E31" s="162"/>
      <c r="F31" s="163"/>
    </row>
    <row r="32" customHeight="1" spans="1:6">
      <c r="A32" s="158">
        <v>29</v>
      </c>
      <c r="B32" s="165"/>
      <c r="C32" s="160" t="s">
        <v>54</v>
      </c>
      <c r="D32" s="161" t="s">
        <v>10</v>
      </c>
      <c r="E32" s="162"/>
      <c r="F32" s="163"/>
    </row>
    <row r="33" customHeight="1" spans="1:6">
      <c r="A33" s="158">
        <v>30</v>
      </c>
      <c r="B33" s="165"/>
      <c r="C33" s="160" t="s">
        <v>55</v>
      </c>
      <c r="D33" s="161" t="s">
        <v>10</v>
      </c>
      <c r="E33" s="162"/>
      <c r="F33" s="163"/>
    </row>
    <row r="34" customHeight="1" spans="1:6">
      <c r="A34" s="158">
        <v>31</v>
      </c>
      <c r="B34" s="165"/>
      <c r="C34" s="160" t="s">
        <v>56</v>
      </c>
      <c r="D34" s="161" t="s">
        <v>10</v>
      </c>
      <c r="E34" s="162"/>
      <c r="F34" s="163"/>
    </row>
    <row r="35" customHeight="1" spans="1:6">
      <c r="A35" s="158">
        <v>32</v>
      </c>
      <c r="B35" s="165"/>
      <c r="C35" s="160" t="s">
        <v>57</v>
      </c>
      <c r="D35" s="161" t="s">
        <v>10</v>
      </c>
      <c r="E35" s="162"/>
      <c r="F35" s="163"/>
    </row>
    <row r="36" customHeight="1" spans="1:6">
      <c r="A36" s="158">
        <v>33</v>
      </c>
      <c r="B36" s="165"/>
      <c r="C36" s="164" t="s">
        <v>58</v>
      </c>
      <c r="D36" s="161" t="s">
        <v>59</v>
      </c>
      <c r="E36" s="162"/>
      <c r="F36" s="163"/>
    </row>
    <row r="37" customHeight="1" spans="1:6">
      <c r="A37" s="158">
        <v>34</v>
      </c>
      <c r="B37" s="165"/>
      <c r="C37" s="164" t="s">
        <v>60</v>
      </c>
      <c r="D37" s="161" t="s">
        <v>59</v>
      </c>
      <c r="E37" s="162"/>
      <c r="F37" s="163"/>
    </row>
    <row r="38" customHeight="1" spans="1:6">
      <c r="A38" s="158">
        <v>35</v>
      </c>
      <c r="B38" s="165"/>
      <c r="C38" s="164" t="s">
        <v>61</v>
      </c>
      <c r="D38" s="161" t="s">
        <v>59</v>
      </c>
      <c r="E38" s="162"/>
      <c r="F38" s="163"/>
    </row>
    <row r="39" customHeight="1" spans="1:6">
      <c r="A39" s="158">
        <v>36</v>
      </c>
      <c r="B39" s="165"/>
      <c r="C39" s="164" t="s">
        <v>62</v>
      </c>
      <c r="D39" s="161" t="s">
        <v>59</v>
      </c>
      <c r="E39" s="162"/>
      <c r="F39" s="163"/>
    </row>
    <row r="40" customHeight="1" spans="1:6">
      <c r="A40" s="158">
        <v>37</v>
      </c>
      <c r="B40" s="165"/>
      <c r="C40" s="164" t="s">
        <v>63</v>
      </c>
      <c r="D40" s="161" t="s">
        <v>59</v>
      </c>
      <c r="E40" s="162"/>
      <c r="F40" s="163"/>
    </row>
    <row r="41" customHeight="1" spans="1:6">
      <c r="A41" s="158">
        <v>38</v>
      </c>
      <c r="B41" s="165"/>
      <c r="C41" s="160" t="s">
        <v>64</v>
      </c>
      <c r="D41" s="161" t="s">
        <v>59</v>
      </c>
      <c r="E41" s="162"/>
      <c r="F41" s="163"/>
    </row>
    <row r="42" customHeight="1" spans="1:6">
      <c r="A42" s="158">
        <v>39</v>
      </c>
      <c r="B42" s="165"/>
      <c r="C42" s="160" t="s">
        <v>65</v>
      </c>
      <c r="D42" s="161" t="s">
        <v>59</v>
      </c>
      <c r="E42" s="162"/>
      <c r="F42" s="163"/>
    </row>
    <row r="43" customHeight="1" spans="1:6">
      <c r="A43" s="158">
        <v>40</v>
      </c>
      <c r="B43" s="165"/>
      <c r="C43" s="160" t="s">
        <v>66</v>
      </c>
      <c r="D43" s="161" t="s">
        <v>59</v>
      </c>
      <c r="E43" s="162"/>
      <c r="F43" s="163"/>
    </row>
    <row r="44" customHeight="1" spans="1:6">
      <c r="A44" s="158">
        <v>41</v>
      </c>
      <c r="B44" s="165"/>
      <c r="C44" s="160" t="s">
        <v>67</v>
      </c>
      <c r="D44" s="161" t="s">
        <v>59</v>
      </c>
      <c r="E44" s="162"/>
      <c r="F44" s="163"/>
    </row>
    <row r="45" customHeight="1" spans="1:6">
      <c r="A45" s="158">
        <v>42</v>
      </c>
      <c r="B45" s="165"/>
      <c r="C45" s="160" t="s">
        <v>68</v>
      </c>
      <c r="D45" s="161" t="s">
        <v>59</v>
      </c>
      <c r="E45" s="162"/>
      <c r="F45" s="163"/>
    </row>
    <row r="46" customHeight="1" spans="1:6">
      <c r="A46" s="158">
        <v>43</v>
      </c>
      <c r="B46" s="165"/>
      <c r="C46" s="160" t="s">
        <v>69</v>
      </c>
      <c r="D46" s="161" t="s">
        <v>59</v>
      </c>
      <c r="E46" s="162"/>
      <c r="F46" s="163"/>
    </row>
    <row r="47" customHeight="1" spans="1:6">
      <c r="A47" s="158">
        <v>44</v>
      </c>
      <c r="B47" s="165"/>
      <c r="C47" s="160" t="s">
        <v>70</v>
      </c>
      <c r="D47" s="161" t="s">
        <v>59</v>
      </c>
      <c r="E47" s="162"/>
      <c r="F47" s="163"/>
    </row>
    <row r="48" customHeight="1" spans="1:6">
      <c r="A48" s="158">
        <v>45</v>
      </c>
      <c r="B48" s="165"/>
      <c r="C48" s="164" t="s">
        <v>71</v>
      </c>
      <c r="D48" s="161" t="s">
        <v>59</v>
      </c>
      <c r="E48" s="162"/>
      <c r="F48" s="163"/>
    </row>
    <row r="49" customHeight="1" spans="1:6">
      <c r="A49" s="158">
        <v>46</v>
      </c>
      <c r="B49" s="165"/>
      <c r="C49" s="164" t="s">
        <v>72</v>
      </c>
      <c r="D49" s="161" t="s">
        <v>59</v>
      </c>
      <c r="E49" s="162"/>
      <c r="F49" s="163"/>
    </row>
    <row r="50" customHeight="1" spans="1:6">
      <c r="A50" s="166" t="s">
        <v>73</v>
      </c>
      <c r="B50" s="167"/>
      <c r="C50" s="167"/>
      <c r="D50" s="167"/>
      <c r="E50" s="167"/>
      <c r="F50" s="168"/>
    </row>
    <row r="51" customHeight="1" spans="1:6">
      <c r="A51" s="158">
        <v>1</v>
      </c>
      <c r="B51" s="169"/>
      <c r="C51" s="170" t="s">
        <v>74</v>
      </c>
      <c r="D51" s="171" t="s">
        <v>75</v>
      </c>
      <c r="E51" s="162"/>
      <c r="F51" s="163"/>
    </row>
    <row r="52" customHeight="1" spans="1:6">
      <c r="A52" s="158">
        <v>2</v>
      </c>
      <c r="B52" s="169"/>
      <c r="C52" s="170" t="s">
        <v>76</v>
      </c>
      <c r="D52" s="171" t="s">
        <v>75</v>
      </c>
      <c r="E52" s="162"/>
      <c r="F52" s="163"/>
    </row>
    <row r="53" customHeight="1" spans="1:6">
      <c r="A53" s="158">
        <v>3</v>
      </c>
      <c r="B53" s="169"/>
      <c r="C53" s="170" t="s">
        <v>77</v>
      </c>
      <c r="D53" s="171" t="s">
        <v>75</v>
      </c>
      <c r="E53" s="162"/>
      <c r="F53" s="163"/>
    </row>
    <row r="54" customHeight="1" spans="1:6">
      <c r="A54" s="158">
        <v>4</v>
      </c>
      <c r="B54" s="169"/>
      <c r="C54" s="170" t="s">
        <v>78</v>
      </c>
      <c r="D54" s="171" t="s">
        <v>75</v>
      </c>
      <c r="E54" s="162"/>
      <c r="F54" s="163"/>
    </row>
    <row r="55" customHeight="1" spans="1:6">
      <c r="A55" s="158">
        <v>5</v>
      </c>
      <c r="B55" s="169"/>
      <c r="C55" s="170" t="s">
        <v>79</v>
      </c>
      <c r="D55" s="171" t="s">
        <v>75</v>
      </c>
      <c r="E55" s="162"/>
      <c r="F55" s="163"/>
    </row>
    <row r="56" customHeight="1" spans="1:6">
      <c r="A56" s="158">
        <v>6</v>
      </c>
      <c r="B56" s="169"/>
      <c r="C56" s="170" t="s">
        <v>80</v>
      </c>
      <c r="D56" s="171" t="s">
        <v>75</v>
      </c>
      <c r="E56" s="162"/>
      <c r="F56" s="163"/>
    </row>
    <row r="57" customHeight="1" spans="1:6">
      <c r="A57" s="158">
        <v>7</v>
      </c>
      <c r="B57" s="169"/>
      <c r="C57" s="170" t="s">
        <v>81</v>
      </c>
      <c r="D57" s="171" t="s">
        <v>75</v>
      </c>
      <c r="E57" s="162"/>
      <c r="F57" s="163"/>
    </row>
    <row r="58" customHeight="1" spans="1:6">
      <c r="A58" s="158">
        <v>8</v>
      </c>
      <c r="B58" s="169"/>
      <c r="C58" s="170" t="s">
        <v>82</v>
      </c>
      <c r="D58" s="171" t="s">
        <v>75</v>
      </c>
      <c r="E58" s="162"/>
      <c r="F58" s="163"/>
    </row>
    <row r="59" customHeight="1" spans="1:6">
      <c r="A59" s="158">
        <v>9</v>
      </c>
      <c r="B59" s="169"/>
      <c r="C59" s="170" t="s">
        <v>83</v>
      </c>
      <c r="D59" s="171" t="s">
        <v>75</v>
      </c>
      <c r="E59" s="162"/>
      <c r="F59" s="163"/>
    </row>
    <row r="60" customHeight="1" spans="1:6">
      <c r="A60" s="158">
        <v>10</v>
      </c>
      <c r="B60" s="169"/>
      <c r="C60" s="170" t="s">
        <v>84</v>
      </c>
      <c r="D60" s="171" t="s">
        <v>85</v>
      </c>
      <c r="E60" s="162"/>
      <c r="F60" s="163"/>
    </row>
    <row r="61" customHeight="1" spans="1:6">
      <c r="A61" s="158">
        <v>11</v>
      </c>
      <c r="B61" s="169"/>
      <c r="C61" s="170" t="s">
        <v>86</v>
      </c>
      <c r="D61" s="171" t="s">
        <v>85</v>
      </c>
      <c r="E61" s="162"/>
      <c r="F61" s="163"/>
    </row>
    <row r="62" customHeight="1" spans="1:6">
      <c r="A62" s="158">
        <v>12</v>
      </c>
      <c r="B62" s="169"/>
      <c r="C62" s="170" t="s">
        <v>87</v>
      </c>
      <c r="D62" s="171" t="s">
        <v>85</v>
      </c>
      <c r="E62" s="162"/>
      <c r="F62" s="163"/>
    </row>
    <row r="63" customHeight="1" spans="1:6">
      <c r="A63" s="166" t="s">
        <v>88</v>
      </c>
      <c r="B63" s="167"/>
      <c r="C63" s="167"/>
      <c r="D63" s="167"/>
      <c r="E63" s="167"/>
      <c r="F63" s="168"/>
    </row>
    <row r="64" customHeight="1" spans="1:6">
      <c r="A64" s="158">
        <v>1</v>
      </c>
      <c r="B64" s="165"/>
      <c r="C64" s="160" t="s">
        <v>89</v>
      </c>
      <c r="D64" s="161" t="s">
        <v>59</v>
      </c>
      <c r="E64" s="162"/>
      <c r="F64" s="163"/>
    </row>
    <row r="65" customHeight="1" spans="1:6">
      <c r="A65" s="158">
        <v>2</v>
      </c>
      <c r="B65" s="165"/>
      <c r="C65" s="160" t="s">
        <v>90</v>
      </c>
      <c r="D65" s="161" t="s">
        <v>59</v>
      </c>
      <c r="E65" s="162"/>
      <c r="F65" s="163"/>
    </row>
    <row r="66" customHeight="1" spans="1:6">
      <c r="A66" s="158">
        <v>3</v>
      </c>
      <c r="B66" s="165"/>
      <c r="C66" s="164" t="s">
        <v>91</v>
      </c>
      <c r="D66" s="161" t="s">
        <v>59</v>
      </c>
      <c r="E66" s="162"/>
      <c r="F66" s="163"/>
    </row>
    <row r="67" customHeight="1" spans="1:6">
      <c r="A67" s="158">
        <v>4</v>
      </c>
      <c r="B67" s="165"/>
      <c r="C67" s="164" t="s">
        <v>92</v>
      </c>
      <c r="D67" s="161" t="s">
        <v>59</v>
      </c>
      <c r="E67" s="162"/>
      <c r="F67" s="163"/>
    </row>
    <row r="68" customHeight="1" spans="1:6">
      <c r="A68" s="158">
        <v>5</v>
      </c>
      <c r="B68" s="165"/>
      <c r="C68" s="164" t="s">
        <v>93</v>
      </c>
      <c r="D68" s="161" t="s">
        <v>59</v>
      </c>
      <c r="E68" s="162"/>
      <c r="F68" s="163"/>
    </row>
    <row r="69" customHeight="1" spans="1:6">
      <c r="A69" s="158">
        <v>6</v>
      </c>
      <c r="B69" s="165"/>
      <c r="C69" s="164" t="s">
        <v>94</v>
      </c>
      <c r="D69" s="161" t="s">
        <v>59</v>
      </c>
      <c r="E69" s="162"/>
      <c r="F69" s="163"/>
    </row>
    <row r="70" customHeight="1" spans="1:6">
      <c r="A70" s="158">
        <v>7</v>
      </c>
      <c r="B70" s="165"/>
      <c r="C70" s="164" t="s">
        <v>95</v>
      </c>
      <c r="D70" s="161" t="s">
        <v>59</v>
      </c>
      <c r="E70" s="162"/>
      <c r="F70" s="163"/>
    </row>
    <row r="71" customHeight="1" spans="1:6">
      <c r="A71" s="158">
        <v>8</v>
      </c>
      <c r="B71" s="165"/>
      <c r="C71" s="164" t="s">
        <v>96</v>
      </c>
      <c r="D71" s="161" t="s">
        <v>59</v>
      </c>
      <c r="E71" s="162"/>
      <c r="F71" s="163"/>
    </row>
    <row r="72" customHeight="1" spans="1:6">
      <c r="A72" s="158">
        <v>9</v>
      </c>
      <c r="B72" s="165"/>
      <c r="C72" s="164" t="s">
        <v>97</v>
      </c>
      <c r="D72" s="161" t="s">
        <v>59</v>
      </c>
      <c r="E72" s="162"/>
      <c r="F72" s="163"/>
    </row>
    <row r="73" customHeight="1" spans="1:6">
      <c r="A73" s="158">
        <v>10</v>
      </c>
      <c r="B73" s="165"/>
      <c r="C73" s="164" t="s">
        <v>98</v>
      </c>
      <c r="D73" s="161" t="s">
        <v>59</v>
      </c>
      <c r="E73" s="162"/>
      <c r="F73" s="163"/>
    </row>
    <row r="74" customHeight="1" spans="1:6">
      <c r="A74" s="158">
        <v>11</v>
      </c>
      <c r="B74" s="165"/>
      <c r="C74" s="164" t="s">
        <v>99</v>
      </c>
      <c r="D74" s="161" t="s">
        <v>59</v>
      </c>
      <c r="E74" s="162"/>
      <c r="F74" s="163"/>
    </row>
    <row r="75" customHeight="1" spans="1:6">
      <c r="A75" s="158">
        <v>12</v>
      </c>
      <c r="B75" s="165"/>
      <c r="C75" s="164" t="s">
        <v>100</v>
      </c>
      <c r="D75" s="161" t="s">
        <v>59</v>
      </c>
      <c r="E75" s="172"/>
      <c r="F75" s="163"/>
    </row>
    <row r="76" customHeight="1" spans="1:6">
      <c r="A76" s="158">
        <v>13</v>
      </c>
      <c r="B76" s="159"/>
      <c r="C76" s="164" t="s">
        <v>101</v>
      </c>
      <c r="D76" s="161" t="s">
        <v>59</v>
      </c>
      <c r="E76" s="162"/>
      <c r="F76" s="163"/>
    </row>
    <row r="77" customHeight="1" spans="1:6">
      <c r="A77" s="158">
        <v>14</v>
      </c>
      <c r="B77" s="159"/>
      <c r="C77" s="164" t="s">
        <v>102</v>
      </c>
      <c r="D77" s="161" t="s">
        <v>59</v>
      </c>
      <c r="E77" s="162"/>
      <c r="F77" s="163"/>
    </row>
    <row r="78" customHeight="1" spans="1:6">
      <c r="A78" s="158">
        <v>15</v>
      </c>
      <c r="B78" s="159"/>
      <c r="C78" s="164" t="s">
        <v>103</v>
      </c>
      <c r="D78" s="161" t="s">
        <v>59</v>
      </c>
      <c r="E78" s="162"/>
      <c r="F78" s="163"/>
    </row>
    <row r="79" customHeight="1" spans="1:6">
      <c r="A79" s="158">
        <v>16</v>
      </c>
      <c r="B79" s="159"/>
      <c r="C79" s="164" t="s">
        <v>104</v>
      </c>
      <c r="D79" s="161" t="s">
        <v>59</v>
      </c>
      <c r="E79" s="162"/>
      <c r="F79" s="163"/>
    </row>
    <row r="80" customHeight="1" spans="1:6">
      <c r="A80" s="158">
        <v>17</v>
      </c>
      <c r="B80" s="159"/>
      <c r="C80" s="164" t="s">
        <v>105</v>
      </c>
      <c r="D80" s="161" t="s">
        <v>59</v>
      </c>
      <c r="E80" s="162"/>
      <c r="F80" s="163"/>
    </row>
    <row r="81" customHeight="1" spans="1:6">
      <c r="A81" s="158">
        <v>18</v>
      </c>
      <c r="B81" s="159"/>
      <c r="C81" s="164" t="s">
        <v>106</v>
      </c>
      <c r="D81" s="161" t="s">
        <v>59</v>
      </c>
      <c r="E81" s="162"/>
      <c r="F81" s="163"/>
    </row>
    <row r="82" customHeight="1" spans="1:6">
      <c r="A82" s="158">
        <v>19</v>
      </c>
      <c r="B82" s="159"/>
      <c r="C82" s="164" t="s">
        <v>107</v>
      </c>
      <c r="D82" s="161" t="s">
        <v>59</v>
      </c>
      <c r="E82" s="162"/>
      <c r="F82" s="163"/>
    </row>
    <row r="83" customHeight="1" spans="1:6">
      <c r="A83" s="158">
        <v>20</v>
      </c>
      <c r="B83" s="159"/>
      <c r="C83" s="164" t="s">
        <v>108</v>
      </c>
      <c r="D83" s="161" t="s">
        <v>59</v>
      </c>
      <c r="E83" s="162"/>
      <c r="F83" s="163"/>
    </row>
    <row r="84" customHeight="1" spans="1:6">
      <c r="A84" s="158">
        <v>21</v>
      </c>
      <c r="B84" s="159"/>
      <c r="C84" s="164" t="s">
        <v>109</v>
      </c>
      <c r="D84" s="161" t="s">
        <v>59</v>
      </c>
      <c r="E84" s="162"/>
      <c r="F84" s="163"/>
    </row>
    <row r="85" customHeight="1" spans="1:6">
      <c r="A85" s="158">
        <v>22</v>
      </c>
      <c r="B85" s="159"/>
      <c r="C85" s="164" t="s">
        <v>110</v>
      </c>
      <c r="D85" s="161" t="s">
        <v>59</v>
      </c>
      <c r="E85" s="162"/>
      <c r="F85" s="163"/>
    </row>
    <row r="86" customHeight="1" spans="1:6">
      <c r="A86" s="158">
        <v>23</v>
      </c>
      <c r="B86" s="159"/>
      <c r="C86" s="164" t="s">
        <v>111</v>
      </c>
      <c r="D86" s="161" t="s">
        <v>59</v>
      </c>
      <c r="E86" s="162"/>
      <c r="F86" s="163"/>
    </row>
    <row r="87" customHeight="1" spans="1:6">
      <c r="A87" s="166" t="s">
        <v>112</v>
      </c>
      <c r="B87" s="167"/>
      <c r="C87" s="167"/>
      <c r="D87" s="167"/>
      <c r="E87" s="167"/>
      <c r="F87" s="168"/>
    </row>
    <row r="88" customHeight="1" spans="1:6">
      <c r="A88" s="158">
        <v>1</v>
      </c>
      <c r="B88" s="159"/>
      <c r="C88" s="160" t="s">
        <v>113</v>
      </c>
      <c r="D88" s="161" t="s">
        <v>59</v>
      </c>
      <c r="E88" s="162"/>
      <c r="F88" s="163"/>
    </row>
    <row r="89" customHeight="1" spans="1:6">
      <c r="A89" s="158">
        <v>2</v>
      </c>
      <c r="B89" s="159"/>
      <c r="C89" s="160" t="s">
        <v>114</v>
      </c>
      <c r="D89" s="161" t="s">
        <v>59</v>
      </c>
      <c r="E89" s="162"/>
      <c r="F89" s="163"/>
    </row>
    <row r="90" customHeight="1" spans="1:6">
      <c r="A90" s="158">
        <v>3</v>
      </c>
      <c r="B90" s="159"/>
      <c r="C90" s="160" t="s">
        <v>115</v>
      </c>
      <c r="D90" s="161" t="s">
        <v>59</v>
      </c>
      <c r="E90" s="162"/>
      <c r="F90" s="163"/>
    </row>
    <row r="91" customHeight="1" spans="1:6">
      <c r="A91" s="158">
        <v>4</v>
      </c>
      <c r="B91" s="159"/>
      <c r="C91" s="160" t="s">
        <v>116</v>
      </c>
      <c r="D91" s="161" t="s">
        <v>59</v>
      </c>
      <c r="E91" s="162"/>
      <c r="F91" s="163"/>
    </row>
    <row r="92" customHeight="1" spans="1:6">
      <c r="A92" s="158">
        <v>5</v>
      </c>
      <c r="B92" s="159"/>
      <c r="C92" s="160" t="s">
        <v>117</v>
      </c>
      <c r="D92" s="161" t="s">
        <v>59</v>
      </c>
      <c r="E92" s="162"/>
      <c r="F92" s="163"/>
    </row>
    <row r="93" customHeight="1" spans="1:6">
      <c r="A93" s="158">
        <v>6</v>
      </c>
      <c r="B93" s="159"/>
      <c r="C93" s="160" t="s">
        <v>118</v>
      </c>
      <c r="D93" s="161" t="s">
        <v>59</v>
      </c>
      <c r="E93" s="162"/>
      <c r="F93" s="163"/>
    </row>
    <row r="94" customHeight="1" spans="1:6">
      <c r="A94" s="158">
        <v>7</v>
      </c>
      <c r="B94" s="159"/>
      <c r="C94" s="160" t="s">
        <v>119</v>
      </c>
      <c r="D94" s="161" t="s">
        <v>59</v>
      </c>
      <c r="E94" s="162"/>
      <c r="F94" s="163"/>
    </row>
    <row r="95" customHeight="1" spans="1:6">
      <c r="A95" s="158">
        <v>8</v>
      </c>
      <c r="B95" s="159"/>
      <c r="C95" s="160" t="s">
        <v>120</v>
      </c>
      <c r="D95" s="161" t="s">
        <v>59</v>
      </c>
      <c r="E95" s="162"/>
      <c r="F95" s="163"/>
    </row>
    <row r="96" customHeight="1" spans="1:6">
      <c r="A96" s="158">
        <v>9</v>
      </c>
      <c r="B96" s="159"/>
      <c r="C96" s="160" t="s">
        <v>121</v>
      </c>
      <c r="D96" s="161" t="s">
        <v>59</v>
      </c>
      <c r="E96" s="162"/>
      <c r="F96" s="163"/>
    </row>
    <row r="97" customHeight="1" spans="1:6">
      <c r="A97" s="158">
        <v>10</v>
      </c>
      <c r="B97" s="159"/>
      <c r="C97" s="160" t="s">
        <v>122</v>
      </c>
      <c r="D97" s="161" t="s">
        <v>123</v>
      </c>
      <c r="E97" s="162"/>
      <c r="F97" s="163"/>
    </row>
    <row r="98" customHeight="1" spans="1:6">
      <c r="A98" s="158">
        <v>11</v>
      </c>
      <c r="B98" s="159"/>
      <c r="C98" s="160" t="s">
        <v>124</v>
      </c>
      <c r="D98" s="161" t="s">
        <v>123</v>
      </c>
      <c r="E98" s="162"/>
      <c r="F98" s="163"/>
    </row>
    <row r="99" customHeight="1" spans="1:6">
      <c r="A99" s="158">
        <v>12</v>
      </c>
      <c r="B99" s="159"/>
      <c r="C99" s="160" t="s">
        <v>125</v>
      </c>
      <c r="D99" s="161" t="s">
        <v>123</v>
      </c>
      <c r="E99" s="162"/>
      <c r="F99" s="163"/>
    </row>
    <row r="100" customHeight="1" spans="1:6">
      <c r="A100" s="158">
        <v>13</v>
      </c>
      <c r="B100" s="159"/>
      <c r="C100" s="160" t="s">
        <v>126</v>
      </c>
      <c r="D100" s="161" t="s">
        <v>123</v>
      </c>
      <c r="E100" s="162"/>
      <c r="F100" s="163"/>
    </row>
    <row r="101" customHeight="1" spans="1:6">
      <c r="A101" s="158">
        <v>14</v>
      </c>
      <c r="B101" s="159"/>
      <c r="C101" s="160" t="s">
        <v>127</v>
      </c>
      <c r="D101" s="161" t="s">
        <v>123</v>
      </c>
      <c r="E101" s="162"/>
      <c r="F101" s="163"/>
    </row>
    <row r="102" customHeight="1" spans="1:6">
      <c r="A102" s="158">
        <v>15</v>
      </c>
      <c r="B102" s="159"/>
      <c r="C102" s="160" t="s">
        <v>128</v>
      </c>
      <c r="D102" s="161" t="s">
        <v>123</v>
      </c>
      <c r="E102" s="162"/>
      <c r="F102" s="163"/>
    </row>
    <row r="103" customHeight="1" spans="1:6">
      <c r="A103" s="158">
        <v>16</v>
      </c>
      <c r="B103" s="159"/>
      <c r="C103" s="160" t="s">
        <v>129</v>
      </c>
      <c r="D103" s="161" t="s">
        <v>123</v>
      </c>
      <c r="E103" s="162"/>
      <c r="F103" s="163"/>
    </row>
    <row r="104" customHeight="1" spans="1:6">
      <c r="A104" s="158">
        <v>17</v>
      </c>
      <c r="B104" s="159"/>
      <c r="C104" s="160" t="s">
        <v>130</v>
      </c>
      <c r="D104" s="161" t="s">
        <v>123</v>
      </c>
      <c r="E104" s="162"/>
      <c r="F104" s="163"/>
    </row>
    <row r="105" customHeight="1" spans="1:6">
      <c r="A105" s="173" t="s">
        <v>131</v>
      </c>
      <c r="B105" s="174"/>
      <c r="C105" s="174"/>
      <c r="D105" s="174"/>
      <c r="E105" s="174"/>
      <c r="F105" s="175"/>
    </row>
    <row r="106" customHeight="1" spans="1:6">
      <c r="A106" s="158">
        <v>1</v>
      </c>
      <c r="B106" s="159"/>
      <c r="C106" s="160" t="s">
        <v>132</v>
      </c>
      <c r="D106" s="161" t="s">
        <v>59</v>
      </c>
      <c r="E106" s="162"/>
      <c r="F106" s="163"/>
    </row>
    <row r="107" customHeight="1" spans="1:6">
      <c r="A107" s="158">
        <v>2</v>
      </c>
      <c r="B107" s="159"/>
      <c r="C107" s="160" t="s">
        <v>133</v>
      </c>
      <c r="D107" s="161" t="s">
        <v>59</v>
      </c>
      <c r="E107" s="162"/>
      <c r="F107" s="163"/>
    </row>
    <row r="108" customHeight="1" spans="1:6">
      <c r="A108" s="158">
        <v>3</v>
      </c>
      <c r="B108" s="159"/>
      <c r="C108" s="160" t="s">
        <v>134</v>
      </c>
      <c r="D108" s="161" t="s">
        <v>135</v>
      </c>
      <c r="E108" s="162"/>
      <c r="F108" s="163"/>
    </row>
    <row r="109" customHeight="1" spans="1:6">
      <c r="A109" s="158">
        <v>4</v>
      </c>
      <c r="B109" s="159"/>
      <c r="C109" s="160" t="s">
        <v>136</v>
      </c>
      <c r="D109" s="161" t="s">
        <v>59</v>
      </c>
      <c r="E109" s="162"/>
      <c r="F109" s="163"/>
    </row>
    <row r="110" customHeight="1" spans="1:6">
      <c r="A110" s="158">
        <v>5</v>
      </c>
      <c r="B110" s="159"/>
      <c r="C110" s="160" t="s">
        <v>137</v>
      </c>
      <c r="D110" s="161" t="s">
        <v>59</v>
      </c>
      <c r="E110" s="162"/>
      <c r="F110" s="163"/>
    </row>
    <row r="111" customHeight="1" spans="1:6">
      <c r="A111" s="158">
        <v>6</v>
      </c>
      <c r="B111" s="159"/>
      <c r="C111" s="160" t="s">
        <v>138</v>
      </c>
      <c r="D111" s="161" t="s">
        <v>59</v>
      </c>
      <c r="E111" s="162"/>
      <c r="F111" s="163"/>
    </row>
    <row r="112" customHeight="1" spans="1:6">
      <c r="A112" s="158">
        <v>7</v>
      </c>
      <c r="B112" s="159"/>
      <c r="C112" s="160" t="s">
        <v>139</v>
      </c>
      <c r="D112" s="161" t="s">
        <v>59</v>
      </c>
      <c r="E112" s="162"/>
      <c r="F112" s="163"/>
    </row>
    <row r="113" customHeight="1" spans="1:6">
      <c r="A113" s="158">
        <v>8</v>
      </c>
      <c r="B113" s="159"/>
      <c r="C113" s="160" t="s">
        <v>140</v>
      </c>
      <c r="D113" s="161" t="s">
        <v>59</v>
      </c>
      <c r="E113" s="162"/>
      <c r="F113" s="163"/>
    </row>
    <row r="114" customHeight="1" spans="1:6">
      <c r="A114" s="166" t="s">
        <v>141</v>
      </c>
      <c r="B114" s="167"/>
      <c r="C114" s="167"/>
      <c r="D114" s="167"/>
      <c r="E114" s="167"/>
      <c r="F114" s="168"/>
    </row>
    <row r="115" customHeight="1" spans="1:6">
      <c r="A115" s="158">
        <v>1</v>
      </c>
      <c r="B115" s="159"/>
      <c r="C115" s="160" t="s">
        <v>142</v>
      </c>
      <c r="D115" s="161" t="s">
        <v>59</v>
      </c>
      <c r="E115" s="162"/>
      <c r="F115" s="163"/>
    </row>
    <row r="116" customHeight="1" spans="1:6">
      <c r="A116" s="158">
        <v>2</v>
      </c>
      <c r="B116" s="159"/>
      <c r="C116" s="160" t="s">
        <v>143</v>
      </c>
      <c r="D116" s="161" t="s">
        <v>59</v>
      </c>
      <c r="E116" s="162"/>
      <c r="F116" s="163"/>
    </row>
    <row r="117" customHeight="1" spans="1:6">
      <c r="A117" s="166" t="s">
        <v>144</v>
      </c>
      <c r="B117" s="167"/>
      <c r="C117" s="167"/>
      <c r="D117" s="167"/>
      <c r="E117" s="167"/>
      <c r="F117" s="168"/>
    </row>
    <row r="118" customHeight="1" spans="1:6">
      <c r="A118" s="158">
        <v>1</v>
      </c>
      <c r="B118" s="159"/>
      <c r="C118" s="160" t="s">
        <v>145</v>
      </c>
      <c r="D118" s="161" t="s">
        <v>146</v>
      </c>
      <c r="E118" s="162"/>
      <c r="F118" s="163"/>
    </row>
    <row r="119" customHeight="1" spans="1:6">
      <c r="A119" s="158">
        <v>2</v>
      </c>
      <c r="B119" s="159"/>
      <c r="C119" s="160" t="s">
        <v>147</v>
      </c>
      <c r="D119" s="161" t="s">
        <v>146</v>
      </c>
      <c r="E119" s="162"/>
      <c r="F119" s="163"/>
    </row>
    <row r="120" customHeight="1" spans="1:6">
      <c r="A120" s="158">
        <v>3</v>
      </c>
      <c r="B120" s="159"/>
      <c r="C120" s="160" t="s">
        <v>148</v>
      </c>
      <c r="D120" s="161" t="s">
        <v>146</v>
      </c>
      <c r="E120" s="162"/>
      <c r="F120" s="163"/>
    </row>
    <row r="121" customHeight="1" spans="1:6">
      <c r="A121" s="158">
        <v>4</v>
      </c>
      <c r="B121" s="159"/>
      <c r="C121" s="160" t="s">
        <v>149</v>
      </c>
      <c r="D121" s="161" t="s">
        <v>146</v>
      </c>
      <c r="E121" s="162"/>
      <c r="F121" s="163"/>
    </row>
    <row r="122" customHeight="1" spans="1:6">
      <c r="A122" s="158">
        <v>5</v>
      </c>
      <c r="B122" s="159"/>
      <c r="C122" s="160" t="s">
        <v>150</v>
      </c>
      <c r="D122" s="161" t="s">
        <v>146</v>
      </c>
      <c r="E122" s="162"/>
      <c r="F122" s="163"/>
    </row>
    <row r="123" customHeight="1" spans="1:6">
      <c r="A123" s="158">
        <v>6</v>
      </c>
      <c r="C123" s="160" t="s">
        <v>151</v>
      </c>
      <c r="D123" s="161" t="s">
        <v>146</v>
      </c>
      <c r="E123" s="162"/>
      <c r="F123" s="163"/>
    </row>
    <row r="124" customHeight="1" spans="1:6">
      <c r="A124" s="158">
        <v>7</v>
      </c>
      <c r="C124" s="160" t="s">
        <v>152</v>
      </c>
      <c r="D124" s="161" t="s">
        <v>146</v>
      </c>
      <c r="E124" s="162"/>
      <c r="F124" s="163"/>
    </row>
    <row r="125" customHeight="1" spans="1:6">
      <c r="A125" s="158">
        <v>8</v>
      </c>
      <c r="C125" s="160" t="s">
        <v>152</v>
      </c>
      <c r="D125" s="161" t="s">
        <v>146</v>
      </c>
      <c r="E125" s="162"/>
      <c r="F125" s="163"/>
    </row>
    <row r="126" customHeight="1" spans="1:6">
      <c r="A126" s="158">
        <v>9</v>
      </c>
      <c r="C126" s="160" t="s">
        <v>153</v>
      </c>
      <c r="D126" s="161" t="s">
        <v>154</v>
      </c>
      <c r="E126" s="162"/>
      <c r="F126" s="163"/>
    </row>
    <row r="127" customHeight="1" spans="1:6">
      <c r="A127" s="158">
        <v>10</v>
      </c>
      <c r="C127" s="160" t="s">
        <v>155</v>
      </c>
      <c r="D127" s="161" t="s">
        <v>146</v>
      </c>
      <c r="E127" s="162"/>
      <c r="F127" s="163"/>
    </row>
    <row r="128" customHeight="1" spans="1:6">
      <c r="A128" s="158">
        <v>11</v>
      </c>
      <c r="C128" s="160" t="s">
        <v>156</v>
      </c>
      <c r="D128" s="161" t="s">
        <v>146</v>
      </c>
      <c r="E128" s="162"/>
      <c r="F128" s="163"/>
    </row>
    <row r="129" customHeight="1" spans="1:6">
      <c r="A129" s="158">
        <v>12</v>
      </c>
      <c r="C129" s="160" t="s">
        <v>157</v>
      </c>
      <c r="D129" s="161" t="s">
        <v>146</v>
      </c>
      <c r="E129" s="162"/>
      <c r="F129" s="163"/>
    </row>
    <row r="130" customHeight="1" spans="1:6">
      <c r="A130" s="176">
        <v>13</v>
      </c>
      <c r="C130" s="177" t="s">
        <v>158</v>
      </c>
      <c r="D130" s="178" t="s">
        <v>146</v>
      </c>
      <c r="E130" s="179"/>
      <c r="F130" s="180"/>
    </row>
    <row r="131" customHeight="1" spans="1:6">
      <c r="A131" s="158">
        <v>14</v>
      </c>
      <c r="B131" s="159"/>
      <c r="C131" s="160" t="s">
        <v>159</v>
      </c>
      <c r="D131" s="161" t="s">
        <v>146</v>
      </c>
      <c r="E131" s="162"/>
      <c r="F131" s="163"/>
    </row>
    <row r="132" customHeight="1" spans="1:6">
      <c r="A132" s="158">
        <v>15</v>
      </c>
      <c r="B132" s="159"/>
      <c r="C132" s="160" t="s">
        <v>160</v>
      </c>
      <c r="D132" s="161" t="s">
        <v>146</v>
      </c>
      <c r="E132" s="162"/>
      <c r="F132" s="163"/>
    </row>
    <row r="133" customHeight="1" spans="1:6">
      <c r="A133" s="158">
        <v>16</v>
      </c>
      <c r="B133" s="159"/>
      <c r="C133" s="160" t="s">
        <v>161</v>
      </c>
      <c r="D133" s="161" t="s">
        <v>154</v>
      </c>
      <c r="E133" s="162"/>
      <c r="F133" s="163"/>
    </row>
    <row r="134" customHeight="1" spans="1:6">
      <c r="A134" s="158">
        <v>17</v>
      </c>
      <c r="B134" s="159"/>
      <c r="C134" s="160" t="s">
        <v>162</v>
      </c>
      <c r="D134" s="161" t="s">
        <v>154</v>
      </c>
      <c r="E134" s="162"/>
      <c r="F134" s="163"/>
    </row>
    <row r="135" customHeight="1" spans="1:6">
      <c r="A135" s="158">
        <v>18</v>
      </c>
      <c r="B135" s="159"/>
      <c r="C135" s="160" t="s">
        <v>163</v>
      </c>
      <c r="D135" s="161" t="s">
        <v>146</v>
      </c>
      <c r="E135" s="162"/>
      <c r="F135" s="163"/>
    </row>
    <row r="136" customHeight="1" spans="1:6">
      <c r="A136" s="158">
        <v>19</v>
      </c>
      <c r="B136" s="159"/>
      <c r="C136" s="160" t="s">
        <v>164</v>
      </c>
      <c r="D136" s="161" t="s">
        <v>146</v>
      </c>
      <c r="E136" s="162"/>
      <c r="F136" s="163"/>
    </row>
    <row r="137" customHeight="1" spans="1:6">
      <c r="A137" s="158">
        <v>20</v>
      </c>
      <c r="B137" s="159"/>
      <c r="C137" s="160" t="s">
        <v>165</v>
      </c>
      <c r="D137" s="161" t="s">
        <v>146</v>
      </c>
      <c r="E137" s="162"/>
      <c r="F137" s="163"/>
    </row>
    <row r="138" customHeight="1" spans="1:6">
      <c r="A138" s="158">
        <v>21</v>
      </c>
      <c r="B138" s="159"/>
      <c r="C138" s="160" t="s">
        <v>166</v>
      </c>
      <c r="D138" s="161" t="s">
        <v>146</v>
      </c>
      <c r="E138" s="162"/>
      <c r="F138" s="163"/>
    </row>
    <row r="139" customHeight="1" spans="1:6">
      <c r="A139" s="158">
        <v>22</v>
      </c>
      <c r="B139" s="159"/>
      <c r="C139" s="160" t="s">
        <v>167</v>
      </c>
      <c r="D139" s="161" t="s">
        <v>146</v>
      </c>
      <c r="E139" s="162"/>
      <c r="F139" s="163"/>
    </row>
    <row r="140" customHeight="1" spans="1:6">
      <c r="A140" s="158">
        <v>23</v>
      </c>
      <c r="B140" s="159"/>
      <c r="C140" s="160" t="s">
        <v>168</v>
      </c>
      <c r="D140" s="161" t="s">
        <v>146</v>
      </c>
      <c r="E140" s="162"/>
      <c r="F140" s="163"/>
    </row>
    <row r="141" customHeight="1" spans="1:6">
      <c r="A141" s="158">
        <v>24</v>
      </c>
      <c r="B141" s="159"/>
      <c r="C141" s="160" t="s">
        <v>169</v>
      </c>
      <c r="D141" s="161" t="s">
        <v>146</v>
      </c>
      <c r="E141" s="162"/>
      <c r="F141" s="163"/>
    </row>
    <row r="142" customHeight="1" spans="1:6">
      <c r="A142" s="158">
        <v>25</v>
      </c>
      <c r="B142" s="159"/>
      <c r="C142" s="160" t="s">
        <v>170</v>
      </c>
      <c r="D142" s="161" t="s">
        <v>146</v>
      </c>
      <c r="E142" s="162"/>
      <c r="F142" s="163"/>
    </row>
    <row r="143" customHeight="1" spans="1:6">
      <c r="A143" s="181" t="s">
        <v>171</v>
      </c>
      <c r="B143" s="181"/>
      <c r="C143" s="181"/>
      <c r="D143" s="181"/>
      <c r="E143" s="181"/>
      <c r="F143" s="181"/>
    </row>
    <row r="144" customHeight="1" spans="1:6">
      <c r="A144" s="158">
        <v>1</v>
      </c>
      <c r="B144" s="159"/>
      <c r="C144" s="160" t="s">
        <v>172</v>
      </c>
      <c r="D144" s="161" t="s">
        <v>146</v>
      </c>
      <c r="E144" s="162"/>
      <c r="F144" s="163"/>
    </row>
    <row r="145" customHeight="1" spans="1:6">
      <c r="A145" s="158">
        <v>2</v>
      </c>
      <c r="B145" s="159"/>
      <c r="C145" s="160" t="s">
        <v>173</v>
      </c>
      <c r="D145" s="161" t="s">
        <v>146</v>
      </c>
      <c r="E145" s="162"/>
      <c r="F145" s="163"/>
    </row>
    <row r="146" customHeight="1" spans="1:6">
      <c r="A146" s="158">
        <v>3</v>
      </c>
      <c r="B146" s="159"/>
      <c r="C146" s="160" t="s">
        <v>174</v>
      </c>
      <c r="D146" s="161" t="s">
        <v>146</v>
      </c>
      <c r="E146" s="162"/>
      <c r="F146" s="163"/>
    </row>
    <row r="147" customHeight="1" spans="1:6">
      <c r="A147" s="158">
        <v>4</v>
      </c>
      <c r="B147" s="159"/>
      <c r="C147" s="160" t="s">
        <v>175</v>
      </c>
      <c r="D147" s="161" t="s">
        <v>146</v>
      </c>
      <c r="E147" s="162"/>
      <c r="F147" s="163"/>
    </row>
    <row r="148" customHeight="1" spans="1:6">
      <c r="A148" s="158">
        <v>5</v>
      </c>
      <c r="B148" s="159"/>
      <c r="C148" s="160" t="s">
        <v>176</v>
      </c>
      <c r="D148" s="161" t="s">
        <v>146</v>
      </c>
      <c r="E148" s="162"/>
      <c r="F148" s="163"/>
    </row>
    <row r="149" customHeight="1" spans="1:6">
      <c r="A149" s="158">
        <v>6</v>
      </c>
      <c r="B149" s="159"/>
      <c r="C149" s="160" t="s">
        <v>177</v>
      </c>
      <c r="D149" s="161" t="s">
        <v>146</v>
      </c>
      <c r="E149" s="162"/>
      <c r="F149" s="163"/>
    </row>
    <row r="150" customHeight="1" spans="1:6">
      <c r="A150" s="158">
        <v>7</v>
      </c>
      <c r="B150" s="159"/>
      <c r="C150" s="160" t="s">
        <v>178</v>
      </c>
      <c r="D150" s="161" t="s">
        <v>146</v>
      </c>
      <c r="E150" s="162"/>
      <c r="F150" s="163"/>
    </row>
    <row r="151" customHeight="1" spans="1:6">
      <c r="A151" s="158">
        <v>8</v>
      </c>
      <c r="B151" s="159"/>
      <c r="C151" s="160" t="s">
        <v>179</v>
      </c>
      <c r="D151" s="161" t="s">
        <v>146</v>
      </c>
      <c r="E151" s="162"/>
      <c r="F151" s="163"/>
    </row>
    <row r="152" customHeight="1" spans="1:6">
      <c r="A152" s="158">
        <v>9</v>
      </c>
      <c r="B152" s="159"/>
      <c r="C152" s="160" t="s">
        <v>180</v>
      </c>
      <c r="D152" s="161" t="s">
        <v>146</v>
      </c>
      <c r="E152" s="162"/>
      <c r="F152" s="163"/>
    </row>
    <row r="153" customHeight="1" spans="1:6">
      <c r="A153" s="158">
        <v>10</v>
      </c>
      <c r="B153" s="159"/>
      <c r="C153" s="160" t="s">
        <v>181</v>
      </c>
      <c r="D153" s="161" t="s">
        <v>146</v>
      </c>
      <c r="E153" s="162"/>
      <c r="F153" s="163"/>
    </row>
    <row r="154" customHeight="1" spans="1:6">
      <c r="A154" s="158">
        <v>11</v>
      </c>
      <c r="B154" s="159"/>
      <c r="C154" s="160" t="s">
        <v>182</v>
      </c>
      <c r="D154" s="161" t="s">
        <v>146</v>
      </c>
      <c r="E154" s="162"/>
      <c r="F154" s="163"/>
    </row>
    <row r="155" customHeight="1" spans="1:6">
      <c r="A155" s="158">
        <v>12</v>
      </c>
      <c r="B155" s="159"/>
      <c r="C155" s="160" t="s">
        <v>183</v>
      </c>
      <c r="D155" s="161" t="s">
        <v>146</v>
      </c>
      <c r="E155" s="162"/>
      <c r="F155" s="163"/>
    </row>
    <row r="156" customHeight="1" spans="1:6">
      <c r="A156" s="158">
        <v>13</v>
      </c>
      <c r="B156" s="159"/>
      <c r="C156" s="160" t="s">
        <v>184</v>
      </c>
      <c r="D156" s="161" t="s">
        <v>146</v>
      </c>
      <c r="E156" s="162"/>
      <c r="F156" s="163"/>
    </row>
    <row r="157" customHeight="1" spans="1:6">
      <c r="A157" s="158">
        <v>14</v>
      </c>
      <c r="B157" s="159"/>
      <c r="C157" s="160" t="s">
        <v>185</v>
      </c>
      <c r="D157" s="161" t="s">
        <v>146</v>
      </c>
      <c r="E157" s="162"/>
      <c r="F157" s="163"/>
    </row>
    <row r="158" customHeight="1" spans="1:6">
      <c r="A158" s="158">
        <v>15</v>
      </c>
      <c r="B158" s="159"/>
      <c r="C158" s="160" t="s">
        <v>186</v>
      </c>
      <c r="D158" s="161" t="s">
        <v>146</v>
      </c>
      <c r="E158" s="162"/>
      <c r="F158" s="163"/>
    </row>
    <row r="159" customHeight="1" spans="1:6">
      <c r="A159" s="158">
        <v>16</v>
      </c>
      <c r="B159" s="159"/>
      <c r="C159" s="160" t="s">
        <v>187</v>
      </c>
      <c r="D159" s="161" t="s">
        <v>146</v>
      </c>
      <c r="E159" s="162"/>
      <c r="F159" s="163"/>
    </row>
    <row r="160" customHeight="1" spans="1:6">
      <c r="A160" s="158">
        <v>17</v>
      </c>
      <c r="B160" s="159"/>
      <c r="C160" s="160" t="s">
        <v>188</v>
      </c>
      <c r="D160" s="161" t="s">
        <v>146</v>
      </c>
      <c r="E160" s="162"/>
      <c r="F160" s="163"/>
    </row>
    <row r="161" customHeight="1" spans="1:6">
      <c r="A161" s="158">
        <v>18</v>
      </c>
      <c r="B161" s="159"/>
      <c r="C161" s="160" t="s">
        <v>189</v>
      </c>
      <c r="D161" s="161" t="s">
        <v>146</v>
      </c>
      <c r="E161" s="162"/>
      <c r="F161" s="163"/>
    </row>
    <row r="162" customHeight="1" spans="1:6">
      <c r="A162" s="158">
        <v>19</v>
      </c>
      <c r="B162" s="159"/>
      <c r="C162" s="160" t="s">
        <v>190</v>
      </c>
      <c r="D162" s="161" t="s">
        <v>146</v>
      </c>
      <c r="E162" s="162"/>
      <c r="F162" s="163"/>
    </row>
    <row r="163" customHeight="1" spans="1:6">
      <c r="A163" s="158">
        <v>20</v>
      </c>
      <c r="B163" s="159"/>
      <c r="C163" s="160" t="s">
        <v>191</v>
      </c>
      <c r="D163" s="161" t="s">
        <v>146</v>
      </c>
      <c r="E163" s="162"/>
      <c r="F163" s="163"/>
    </row>
    <row r="164" customHeight="1" spans="1:6">
      <c r="A164" s="158">
        <v>21</v>
      </c>
      <c r="B164" s="159"/>
      <c r="C164" s="160" t="s">
        <v>192</v>
      </c>
      <c r="D164" s="161" t="s">
        <v>146</v>
      </c>
      <c r="E164" s="162"/>
      <c r="F164" s="163"/>
    </row>
    <row r="165" customHeight="1" spans="1:6">
      <c r="A165" s="158">
        <v>22</v>
      </c>
      <c r="B165" s="159"/>
      <c r="C165" s="160" t="s">
        <v>193</v>
      </c>
      <c r="D165" s="161" t="s">
        <v>146</v>
      </c>
      <c r="E165" s="162"/>
      <c r="F165" s="163"/>
    </row>
    <row r="166" customHeight="1" spans="1:6">
      <c r="A166" s="158">
        <v>23</v>
      </c>
      <c r="B166" s="159"/>
      <c r="C166" s="160" t="s">
        <v>194</v>
      </c>
      <c r="D166" s="161" t="s">
        <v>146</v>
      </c>
      <c r="E166" s="162"/>
      <c r="F166" s="163"/>
    </row>
    <row r="167" customHeight="1" spans="1:6">
      <c r="A167" s="158">
        <v>24</v>
      </c>
      <c r="B167" s="159"/>
      <c r="C167" s="160" t="s">
        <v>195</v>
      </c>
      <c r="D167" s="161" t="s">
        <v>146</v>
      </c>
      <c r="E167" s="162"/>
      <c r="F167" s="163"/>
    </row>
    <row r="168" customHeight="1" spans="1:6">
      <c r="A168" s="158">
        <v>25</v>
      </c>
      <c r="B168" s="159"/>
      <c r="C168" s="160" t="s">
        <v>196</v>
      </c>
      <c r="D168" s="161" t="s">
        <v>146</v>
      </c>
      <c r="E168" s="162"/>
      <c r="F168" s="163"/>
    </row>
    <row r="169" customHeight="1" spans="1:6">
      <c r="A169" s="158">
        <v>26</v>
      </c>
      <c r="B169" s="159"/>
      <c r="C169" s="160" t="s">
        <v>197</v>
      </c>
      <c r="D169" s="161" t="s">
        <v>146</v>
      </c>
      <c r="E169" s="162"/>
      <c r="F169" s="163"/>
    </row>
    <row r="170" customHeight="1" spans="1:6">
      <c r="A170" s="158">
        <v>27</v>
      </c>
      <c r="B170" s="159"/>
      <c r="C170" s="160" t="s">
        <v>198</v>
      </c>
      <c r="D170" s="161" t="s">
        <v>154</v>
      </c>
      <c r="E170" s="162"/>
      <c r="F170" s="163"/>
    </row>
    <row r="171" customHeight="1" spans="1:6">
      <c r="A171" s="158">
        <v>28</v>
      </c>
      <c r="B171" s="159"/>
      <c r="C171" s="160" t="s">
        <v>199</v>
      </c>
      <c r="D171" s="161" t="s">
        <v>154</v>
      </c>
      <c r="E171" s="162"/>
      <c r="F171" s="163"/>
    </row>
    <row r="172" customHeight="1" spans="1:6">
      <c r="A172" s="158">
        <v>29</v>
      </c>
      <c r="B172" s="159"/>
      <c r="C172" s="164" t="s">
        <v>200</v>
      </c>
      <c r="D172" s="161" t="s">
        <v>146</v>
      </c>
      <c r="E172" s="162"/>
      <c r="F172" s="163"/>
    </row>
    <row r="173" customHeight="1" spans="1:6">
      <c r="A173" s="158">
        <v>30</v>
      </c>
      <c r="B173" s="159"/>
      <c r="C173" s="164" t="s">
        <v>201</v>
      </c>
      <c r="D173" s="161" t="s">
        <v>146</v>
      </c>
      <c r="E173" s="162"/>
      <c r="F173" s="163"/>
    </row>
    <row r="174" customHeight="1" spans="1:6">
      <c r="A174" s="182" t="s">
        <v>202</v>
      </c>
      <c r="B174" s="183"/>
      <c r="C174" s="183"/>
      <c r="D174" s="183"/>
      <c r="E174" s="183"/>
      <c r="F174" s="184"/>
    </row>
    <row r="175" customHeight="1" spans="1:6">
      <c r="A175" s="158">
        <v>1</v>
      </c>
      <c r="B175" s="159"/>
      <c r="C175" s="160" t="s">
        <v>203</v>
      </c>
      <c r="D175" s="161" t="s">
        <v>146</v>
      </c>
      <c r="E175" s="162"/>
      <c r="F175" s="163"/>
    </row>
    <row r="176" customHeight="1" spans="1:6">
      <c r="A176" s="158">
        <v>2</v>
      </c>
      <c r="B176" s="159"/>
      <c r="C176" s="160" t="s">
        <v>204</v>
      </c>
      <c r="D176" s="161" t="s">
        <v>146</v>
      </c>
      <c r="E176" s="162"/>
      <c r="F176" s="163"/>
    </row>
    <row r="177" customHeight="1" spans="1:6">
      <c r="A177" s="158">
        <v>3</v>
      </c>
      <c r="B177" s="159"/>
      <c r="C177" s="160" t="s">
        <v>205</v>
      </c>
      <c r="D177" s="161" t="s">
        <v>146</v>
      </c>
      <c r="E177" s="162"/>
      <c r="F177" s="163"/>
    </row>
    <row r="178" customHeight="1" spans="1:6">
      <c r="A178" s="158">
        <v>4</v>
      </c>
      <c r="B178" s="159"/>
      <c r="C178" s="160" t="s">
        <v>206</v>
      </c>
      <c r="D178" s="161" t="s">
        <v>146</v>
      </c>
      <c r="E178" s="162"/>
      <c r="F178" s="163"/>
    </row>
    <row r="179" customHeight="1" spans="1:6">
      <c r="A179" s="158">
        <v>5</v>
      </c>
      <c r="B179" s="159"/>
      <c r="C179" s="160" t="s">
        <v>207</v>
      </c>
      <c r="D179" s="161" t="s">
        <v>146</v>
      </c>
      <c r="E179" s="162"/>
      <c r="F179" s="163"/>
    </row>
    <row r="180" customHeight="1" spans="1:6">
      <c r="A180" s="158">
        <v>6</v>
      </c>
      <c r="B180" s="159"/>
      <c r="C180" s="160" t="s">
        <v>208</v>
      </c>
      <c r="D180" s="161" t="s">
        <v>146</v>
      </c>
      <c r="E180" s="162"/>
      <c r="F180" s="163"/>
    </row>
    <row r="181" customHeight="1" spans="1:6">
      <c r="A181" s="158">
        <v>7</v>
      </c>
      <c r="B181" s="159"/>
      <c r="C181" s="160" t="s">
        <v>209</v>
      </c>
      <c r="D181" s="161" t="s">
        <v>146</v>
      </c>
      <c r="E181" s="162"/>
      <c r="F181" s="163"/>
    </row>
    <row r="182" customHeight="1" spans="1:6">
      <c r="A182" s="158">
        <v>8</v>
      </c>
      <c r="B182" s="159"/>
      <c r="C182" s="160" t="s">
        <v>210</v>
      </c>
      <c r="D182" s="161" t="s">
        <v>146</v>
      </c>
      <c r="E182" s="162"/>
      <c r="F182" s="163"/>
    </row>
    <row r="183" customHeight="1" spans="1:6">
      <c r="A183" s="158">
        <v>9</v>
      </c>
      <c r="B183" s="159"/>
      <c r="C183" s="160" t="s">
        <v>211</v>
      </c>
      <c r="D183" s="161" t="s">
        <v>154</v>
      </c>
      <c r="E183" s="162"/>
      <c r="F183" s="163"/>
    </row>
    <row r="184" customHeight="1" spans="1:6">
      <c r="A184" s="158">
        <v>10</v>
      </c>
      <c r="B184" s="159"/>
      <c r="C184" s="160" t="s">
        <v>212</v>
      </c>
      <c r="D184" s="161" t="s">
        <v>146</v>
      </c>
      <c r="E184" s="162"/>
      <c r="F184" s="163"/>
    </row>
    <row r="185" customHeight="1" spans="1:6">
      <c r="A185" s="158">
        <v>11</v>
      </c>
      <c r="B185" s="159"/>
      <c r="C185" s="160" t="s">
        <v>213</v>
      </c>
      <c r="D185" s="161" t="s">
        <v>146</v>
      </c>
      <c r="E185" s="162"/>
      <c r="F185" s="163"/>
    </row>
    <row r="186" customHeight="1" spans="1:6">
      <c r="A186" s="158">
        <v>12</v>
      </c>
      <c r="B186" s="159"/>
      <c r="C186" s="160" t="s">
        <v>214</v>
      </c>
      <c r="D186" s="161" t="s">
        <v>146</v>
      </c>
      <c r="E186" s="162"/>
      <c r="F186" s="163"/>
    </row>
    <row r="187" customHeight="1" spans="1:6">
      <c r="A187" s="158">
        <v>13</v>
      </c>
      <c r="B187" s="159"/>
      <c r="C187" s="160" t="s">
        <v>215</v>
      </c>
      <c r="D187" s="161" t="s">
        <v>146</v>
      </c>
      <c r="E187" s="162"/>
      <c r="F187" s="163"/>
    </row>
    <row r="188" customHeight="1" spans="1:6">
      <c r="A188" s="158">
        <v>14</v>
      </c>
      <c r="B188" s="159"/>
      <c r="C188" s="160" t="s">
        <v>216</v>
      </c>
      <c r="D188" s="161" t="s">
        <v>146</v>
      </c>
      <c r="E188" s="162"/>
      <c r="F188" s="163"/>
    </row>
    <row r="189" customHeight="1" spans="1:6">
      <c r="A189" s="158">
        <v>15</v>
      </c>
      <c r="B189" s="159"/>
      <c r="C189" s="185" t="s">
        <v>217</v>
      </c>
      <c r="D189" s="161" t="s">
        <v>154</v>
      </c>
      <c r="E189" s="162"/>
      <c r="F189" s="163"/>
    </row>
    <row r="190" customHeight="1" spans="1:6">
      <c r="A190" s="158">
        <v>16</v>
      </c>
      <c r="B190" s="159"/>
      <c r="C190" s="185" t="s">
        <v>218</v>
      </c>
      <c r="D190" s="161" t="s">
        <v>154</v>
      </c>
      <c r="E190" s="162"/>
      <c r="F190" s="163"/>
    </row>
    <row r="191" customHeight="1" spans="1:6">
      <c r="A191" s="158">
        <v>17</v>
      </c>
      <c r="B191" s="159"/>
      <c r="C191" s="160" t="s">
        <v>219</v>
      </c>
      <c r="D191" s="161" t="s">
        <v>146</v>
      </c>
      <c r="E191" s="162"/>
      <c r="F191" s="163"/>
    </row>
    <row r="192" customHeight="1" spans="1:6">
      <c r="A192" s="158">
        <v>18</v>
      </c>
      <c r="B192" s="159"/>
      <c r="C192" s="160" t="s">
        <v>220</v>
      </c>
      <c r="D192" s="161" t="s">
        <v>146</v>
      </c>
      <c r="E192" s="162"/>
      <c r="F192" s="163"/>
    </row>
    <row r="193" customHeight="1" spans="1:6">
      <c r="A193" s="158">
        <v>19</v>
      </c>
      <c r="B193" s="159"/>
      <c r="C193" s="160" t="s">
        <v>221</v>
      </c>
      <c r="D193" s="161" t="s">
        <v>146</v>
      </c>
      <c r="E193" s="162"/>
      <c r="F193" s="163"/>
    </row>
    <row r="194" customHeight="1" spans="1:6">
      <c r="A194" s="158">
        <v>20</v>
      </c>
      <c r="B194" s="159"/>
      <c r="C194" s="160" t="s">
        <v>222</v>
      </c>
      <c r="D194" s="161" t="s">
        <v>146</v>
      </c>
      <c r="E194" s="162"/>
      <c r="F194" s="163"/>
    </row>
    <row r="195" customHeight="1" spans="1:6">
      <c r="A195" s="158">
        <v>21</v>
      </c>
      <c r="B195" s="159"/>
      <c r="C195" s="160" t="s">
        <v>223</v>
      </c>
      <c r="D195" s="161" t="s">
        <v>146</v>
      </c>
      <c r="E195" s="162"/>
      <c r="F195" s="163"/>
    </row>
    <row r="196" customHeight="1" spans="1:6">
      <c r="A196" s="158">
        <v>22</v>
      </c>
      <c r="B196" s="159"/>
      <c r="C196" s="160" t="s">
        <v>224</v>
      </c>
      <c r="D196" s="161" t="s">
        <v>146</v>
      </c>
      <c r="E196" s="162"/>
      <c r="F196" s="163"/>
    </row>
    <row r="197" customHeight="1" spans="1:6">
      <c r="A197" s="158">
        <v>23</v>
      </c>
      <c r="B197" s="159"/>
      <c r="C197" s="160" t="s">
        <v>225</v>
      </c>
      <c r="D197" s="161" t="s">
        <v>146</v>
      </c>
      <c r="E197" s="162"/>
      <c r="F197" s="163"/>
    </row>
    <row r="198" customHeight="1" spans="1:6">
      <c r="A198" s="158">
        <v>24</v>
      </c>
      <c r="B198" s="159"/>
      <c r="C198" s="160" t="s">
        <v>226</v>
      </c>
      <c r="D198" s="161" t="s">
        <v>146</v>
      </c>
      <c r="E198" s="162"/>
      <c r="F198" s="163"/>
    </row>
    <row r="199" customHeight="1" spans="1:6">
      <c r="A199" s="158">
        <v>25</v>
      </c>
      <c r="B199" s="159"/>
      <c r="C199" s="160" t="s">
        <v>227</v>
      </c>
      <c r="D199" s="161" t="s">
        <v>146</v>
      </c>
      <c r="E199" s="162"/>
      <c r="F199" s="163"/>
    </row>
    <row r="200" customHeight="1" spans="1:6">
      <c r="A200" s="158">
        <v>26</v>
      </c>
      <c r="B200" s="159"/>
      <c r="C200" s="160" t="s">
        <v>228</v>
      </c>
      <c r="D200" s="161" t="s">
        <v>146</v>
      </c>
      <c r="E200" s="162"/>
      <c r="F200" s="163"/>
    </row>
    <row r="201" customHeight="1" spans="1:6">
      <c r="A201" s="158">
        <v>27</v>
      </c>
      <c r="B201" s="159"/>
      <c r="C201" s="160" t="s">
        <v>229</v>
      </c>
      <c r="D201" s="161" t="s">
        <v>146</v>
      </c>
      <c r="E201" s="162"/>
      <c r="F201" s="163"/>
    </row>
    <row r="202" customHeight="1" spans="1:6">
      <c r="A202" s="158">
        <v>28</v>
      </c>
      <c r="B202" s="159"/>
      <c r="C202" s="160" t="s">
        <v>230</v>
      </c>
      <c r="D202" s="161" t="s">
        <v>146</v>
      </c>
      <c r="E202" s="162"/>
      <c r="F202" s="163"/>
    </row>
    <row r="203" customHeight="1" spans="1:6">
      <c r="A203" s="158">
        <v>29</v>
      </c>
      <c r="B203" s="159"/>
      <c r="C203" s="160" t="s">
        <v>231</v>
      </c>
      <c r="D203" s="161" t="s">
        <v>146</v>
      </c>
      <c r="E203" s="162"/>
      <c r="F203" s="163"/>
    </row>
    <row r="204" customHeight="1" spans="1:6">
      <c r="A204" s="158">
        <v>30</v>
      </c>
      <c r="B204" s="159"/>
      <c r="C204" s="160" t="s">
        <v>232</v>
      </c>
      <c r="D204" s="161" t="s">
        <v>146</v>
      </c>
      <c r="E204" s="162"/>
      <c r="F204" s="163"/>
    </row>
    <row r="205" customHeight="1" spans="1:6">
      <c r="A205" s="158">
        <v>31</v>
      </c>
      <c r="B205" s="159"/>
      <c r="C205" s="160" t="s">
        <v>233</v>
      </c>
      <c r="D205" s="161" t="s">
        <v>146</v>
      </c>
      <c r="E205" s="162"/>
      <c r="F205" s="163"/>
    </row>
    <row r="206" customHeight="1" spans="1:6">
      <c r="A206" s="158">
        <v>32</v>
      </c>
      <c r="B206" s="159"/>
      <c r="C206" s="160" t="s">
        <v>234</v>
      </c>
      <c r="D206" s="161" t="s">
        <v>146</v>
      </c>
      <c r="E206" s="162"/>
      <c r="F206" s="163"/>
    </row>
    <row r="207" customHeight="1" spans="1:6">
      <c r="A207" s="158">
        <v>33</v>
      </c>
      <c r="B207" s="159"/>
      <c r="C207" s="160" t="s">
        <v>235</v>
      </c>
      <c r="D207" s="161" t="s">
        <v>146</v>
      </c>
      <c r="E207" s="162"/>
      <c r="F207" s="163"/>
    </row>
    <row r="208" customHeight="1" spans="1:6">
      <c r="A208" s="158">
        <v>34</v>
      </c>
      <c r="B208" s="159"/>
      <c r="C208" s="160" t="s">
        <v>236</v>
      </c>
      <c r="D208" s="161" t="s">
        <v>146</v>
      </c>
      <c r="E208" s="162"/>
      <c r="F208" s="163"/>
    </row>
    <row r="209" customHeight="1" spans="1:6">
      <c r="A209" s="158">
        <v>35</v>
      </c>
      <c r="B209" s="159"/>
      <c r="C209" s="160" t="s">
        <v>237</v>
      </c>
      <c r="D209" s="161" t="s">
        <v>146</v>
      </c>
      <c r="E209" s="162"/>
      <c r="F209" s="163"/>
    </row>
    <row r="210" customHeight="1" spans="1:6">
      <c r="A210" s="158">
        <v>36</v>
      </c>
      <c r="B210" s="159"/>
      <c r="C210" s="160" t="s">
        <v>238</v>
      </c>
      <c r="D210" s="161" t="s">
        <v>146</v>
      </c>
      <c r="E210" s="162"/>
      <c r="F210" s="163"/>
    </row>
    <row r="211" customHeight="1" spans="1:6">
      <c r="A211" s="158">
        <v>37</v>
      </c>
      <c r="B211" s="159"/>
      <c r="C211" s="160" t="s">
        <v>239</v>
      </c>
      <c r="D211" s="161" t="s">
        <v>146</v>
      </c>
      <c r="E211" s="162"/>
      <c r="F211" s="163"/>
    </row>
    <row r="212" customHeight="1" spans="1:6">
      <c r="A212" s="158">
        <v>38</v>
      </c>
      <c r="B212" s="159"/>
      <c r="C212" s="160" t="s">
        <v>240</v>
      </c>
      <c r="D212" s="161" t="s">
        <v>146</v>
      </c>
      <c r="E212" s="162"/>
      <c r="F212" s="163"/>
    </row>
    <row r="213" customHeight="1" spans="1:6">
      <c r="A213" s="158">
        <v>39</v>
      </c>
      <c r="B213" s="159"/>
      <c r="C213" s="160" t="s">
        <v>241</v>
      </c>
      <c r="D213" s="161" t="s">
        <v>146</v>
      </c>
      <c r="E213" s="162"/>
      <c r="F213" s="163"/>
    </row>
    <row r="214" customHeight="1" spans="1:6">
      <c r="A214" s="158">
        <v>40</v>
      </c>
      <c r="B214" s="159"/>
      <c r="C214" s="160" t="s">
        <v>242</v>
      </c>
      <c r="D214" s="161" t="s">
        <v>146</v>
      </c>
      <c r="E214" s="162"/>
      <c r="F214" s="163"/>
    </row>
    <row r="215" customHeight="1" spans="1:6">
      <c r="A215" s="158">
        <v>41</v>
      </c>
      <c r="B215" s="159"/>
      <c r="C215" s="160" t="s">
        <v>243</v>
      </c>
      <c r="D215" s="161" t="s">
        <v>146</v>
      </c>
      <c r="E215" s="162"/>
      <c r="F215" s="163"/>
    </row>
    <row r="216" customHeight="1" spans="1:6">
      <c r="A216" s="158">
        <v>42</v>
      </c>
      <c r="B216" s="159"/>
      <c r="C216" s="160" t="s">
        <v>244</v>
      </c>
      <c r="D216" s="161" t="s">
        <v>146</v>
      </c>
      <c r="E216" s="162"/>
      <c r="F216" s="163"/>
    </row>
    <row r="217" customHeight="1" spans="1:6">
      <c r="A217" s="158">
        <v>43</v>
      </c>
      <c r="B217" s="159"/>
      <c r="C217" s="160" t="s">
        <v>245</v>
      </c>
      <c r="D217" s="161" t="s">
        <v>146</v>
      </c>
      <c r="E217" s="162"/>
      <c r="F217" s="163"/>
    </row>
    <row r="218" customHeight="1" spans="1:6">
      <c r="A218" s="158">
        <v>44</v>
      </c>
      <c r="B218" s="159"/>
      <c r="C218" s="160" t="s">
        <v>246</v>
      </c>
      <c r="D218" s="161" t="s">
        <v>59</v>
      </c>
      <c r="E218" s="162"/>
      <c r="F218" s="163"/>
    </row>
    <row r="219" customHeight="1" spans="1:6">
      <c r="A219" s="158">
        <v>45</v>
      </c>
      <c r="B219" s="159"/>
      <c r="C219" s="160" t="s">
        <v>247</v>
      </c>
      <c r="D219" s="161" t="s">
        <v>59</v>
      </c>
      <c r="E219" s="162"/>
      <c r="F219" s="163"/>
    </row>
    <row r="220" customHeight="1" spans="1:6">
      <c r="A220" s="158">
        <v>46</v>
      </c>
      <c r="B220" s="159"/>
      <c r="C220" s="160" t="s">
        <v>248</v>
      </c>
      <c r="D220" s="161" t="s">
        <v>249</v>
      </c>
      <c r="E220" s="162"/>
      <c r="F220" s="163"/>
    </row>
    <row r="221" customHeight="1" spans="1:6">
      <c r="A221" s="158">
        <v>47</v>
      </c>
      <c r="B221" s="159"/>
      <c r="C221" s="160" t="s">
        <v>250</v>
      </c>
      <c r="D221" s="161" t="s">
        <v>146</v>
      </c>
      <c r="E221" s="162"/>
      <c r="F221" s="163"/>
    </row>
    <row r="222" customHeight="1" spans="1:6">
      <c r="A222" s="158">
        <v>48</v>
      </c>
      <c r="B222" s="159"/>
      <c r="C222" s="160" t="s">
        <v>251</v>
      </c>
      <c r="D222" s="161" t="s">
        <v>146</v>
      </c>
      <c r="E222" s="162"/>
      <c r="F222" s="163"/>
    </row>
    <row r="223" customHeight="1" spans="1:6">
      <c r="A223" s="158">
        <v>49</v>
      </c>
      <c r="B223" s="159"/>
      <c r="C223" s="160" t="s">
        <v>252</v>
      </c>
      <c r="D223" s="161" t="s">
        <v>146</v>
      </c>
      <c r="E223" s="162"/>
      <c r="F223" s="163"/>
    </row>
    <row r="224" customHeight="1" spans="1:6">
      <c r="A224" s="158">
        <v>50</v>
      </c>
      <c r="B224" s="159"/>
      <c r="C224" s="160" t="s">
        <v>253</v>
      </c>
      <c r="D224" s="161" t="s">
        <v>146</v>
      </c>
      <c r="E224" s="162"/>
      <c r="F224" s="163"/>
    </row>
    <row r="225" customHeight="1" spans="1:6">
      <c r="A225" s="158">
        <v>51</v>
      </c>
      <c r="B225" s="159"/>
      <c r="C225" s="160" t="s">
        <v>254</v>
      </c>
      <c r="D225" s="161" t="s">
        <v>146</v>
      </c>
      <c r="E225" s="162"/>
      <c r="F225" s="163"/>
    </row>
    <row r="226" customHeight="1" spans="1:6">
      <c r="A226" s="158">
        <v>52</v>
      </c>
      <c r="B226" s="159"/>
      <c r="C226" s="160" t="s">
        <v>255</v>
      </c>
      <c r="D226" s="161" t="s">
        <v>146</v>
      </c>
      <c r="E226" s="162"/>
      <c r="F226" s="163"/>
    </row>
    <row r="227" customHeight="1" spans="1:6">
      <c r="A227" s="158">
        <v>53</v>
      </c>
      <c r="B227" s="159"/>
      <c r="C227" s="160" t="s">
        <v>256</v>
      </c>
      <c r="D227" s="161" t="s">
        <v>146</v>
      </c>
      <c r="E227" s="162"/>
      <c r="F227" s="163"/>
    </row>
    <row r="228" customHeight="1" spans="1:6">
      <c r="A228" s="182" t="s">
        <v>257</v>
      </c>
      <c r="B228" s="183"/>
      <c r="C228" s="183"/>
      <c r="D228" s="183"/>
      <c r="E228" s="183"/>
      <c r="F228" s="184"/>
    </row>
    <row r="229" customHeight="1" spans="1:6">
      <c r="A229" s="158">
        <v>1</v>
      </c>
      <c r="B229" s="159"/>
      <c r="C229" s="160" t="s">
        <v>258</v>
      </c>
      <c r="D229" s="161" t="s">
        <v>154</v>
      </c>
      <c r="E229" s="162"/>
      <c r="F229" s="163"/>
    </row>
    <row r="230" customHeight="1" spans="1:6">
      <c r="A230" s="158">
        <v>2</v>
      </c>
      <c r="B230" s="159"/>
      <c r="C230" s="160" t="s">
        <v>259</v>
      </c>
      <c r="D230" s="161" t="s">
        <v>154</v>
      </c>
      <c r="E230" s="162"/>
      <c r="F230" s="163"/>
    </row>
    <row r="231" customHeight="1" spans="1:6">
      <c r="A231" s="158">
        <v>3</v>
      </c>
      <c r="B231" s="159"/>
      <c r="C231" s="160" t="s">
        <v>260</v>
      </c>
      <c r="D231" s="161" t="s">
        <v>154</v>
      </c>
      <c r="E231" s="162"/>
      <c r="F231" s="163"/>
    </row>
    <row r="232" customHeight="1" spans="1:6">
      <c r="A232" s="158">
        <v>4</v>
      </c>
      <c r="B232" s="159"/>
      <c r="C232" s="160" t="s">
        <v>261</v>
      </c>
      <c r="D232" s="161" t="s">
        <v>154</v>
      </c>
      <c r="E232" s="162"/>
      <c r="F232" s="163"/>
    </row>
    <row r="233" customHeight="1" spans="1:6">
      <c r="A233" s="158">
        <v>5</v>
      </c>
      <c r="B233" s="159"/>
      <c r="C233" s="160" t="s">
        <v>262</v>
      </c>
      <c r="D233" s="161" t="s">
        <v>154</v>
      </c>
      <c r="E233" s="162"/>
      <c r="F233" s="163"/>
    </row>
    <row r="234" customHeight="1" spans="1:6">
      <c r="A234" s="158">
        <v>6</v>
      </c>
      <c r="B234" s="159"/>
      <c r="C234" s="160" t="s">
        <v>263</v>
      </c>
      <c r="D234" s="161" t="s">
        <v>154</v>
      </c>
      <c r="E234" s="162"/>
      <c r="F234" s="163"/>
    </row>
    <row r="235" customHeight="1" spans="1:6">
      <c r="A235" s="158">
        <v>7</v>
      </c>
      <c r="B235" s="159"/>
      <c r="C235" s="160" t="s">
        <v>264</v>
      </c>
      <c r="D235" s="161" t="s">
        <v>154</v>
      </c>
      <c r="E235" s="162"/>
      <c r="F235" s="163"/>
    </row>
    <row r="236" customHeight="1" spans="1:6">
      <c r="A236" s="158">
        <v>8</v>
      </c>
      <c r="B236" s="159"/>
      <c r="C236" s="160" t="s">
        <v>265</v>
      </c>
      <c r="D236" s="161" t="s">
        <v>154</v>
      </c>
      <c r="E236" s="162"/>
      <c r="F236" s="163"/>
    </row>
    <row r="237" customHeight="1" spans="1:6">
      <c r="A237" s="158">
        <v>9</v>
      </c>
      <c r="B237" s="159"/>
      <c r="C237" s="160" t="s">
        <v>266</v>
      </c>
      <c r="D237" s="161" t="s">
        <v>154</v>
      </c>
      <c r="E237" s="162"/>
      <c r="F237" s="163"/>
    </row>
    <row r="238" customHeight="1" spans="1:6">
      <c r="A238" s="158">
        <v>10</v>
      </c>
      <c r="B238" s="159"/>
      <c r="C238" s="160" t="s">
        <v>267</v>
      </c>
      <c r="D238" s="161" t="s">
        <v>154</v>
      </c>
      <c r="E238" s="162"/>
      <c r="F238" s="163"/>
    </row>
    <row r="239" customHeight="1" spans="1:6">
      <c r="A239" s="158">
        <v>11</v>
      </c>
      <c r="B239" s="159"/>
      <c r="C239" s="160" t="s">
        <v>268</v>
      </c>
      <c r="D239" s="161" t="s">
        <v>154</v>
      </c>
      <c r="E239" s="162"/>
      <c r="F239" s="163"/>
    </row>
    <row r="240" customHeight="1" spans="1:6">
      <c r="A240" s="158">
        <v>12</v>
      </c>
      <c r="B240" s="159"/>
      <c r="C240" s="160" t="s">
        <v>269</v>
      </c>
      <c r="D240" s="161" t="s">
        <v>154</v>
      </c>
      <c r="E240" s="162"/>
      <c r="F240" s="163"/>
    </row>
    <row r="241" customHeight="1" spans="1:6">
      <c r="A241" s="158">
        <v>13</v>
      </c>
      <c r="B241" s="159"/>
      <c r="C241" s="160" t="s">
        <v>270</v>
      </c>
      <c r="D241" s="161" t="s">
        <v>154</v>
      </c>
      <c r="E241" s="162"/>
      <c r="F241" s="163"/>
    </row>
    <row r="242" customHeight="1" spans="1:6">
      <c r="A242" s="158">
        <v>14</v>
      </c>
      <c r="B242" s="159"/>
      <c r="C242" s="160" t="s">
        <v>271</v>
      </c>
      <c r="D242" s="161" t="s">
        <v>154</v>
      </c>
      <c r="E242" s="162"/>
      <c r="F242" s="163"/>
    </row>
    <row r="243" customHeight="1" spans="1:6">
      <c r="A243" s="158">
        <v>15</v>
      </c>
      <c r="B243" s="159"/>
      <c r="C243" s="160" t="s">
        <v>272</v>
      </c>
      <c r="D243" s="161" t="s">
        <v>273</v>
      </c>
      <c r="E243" s="162"/>
      <c r="F243" s="163"/>
    </row>
    <row r="244" customHeight="1" spans="1:6">
      <c r="A244" s="158">
        <v>16</v>
      </c>
      <c r="B244" s="159"/>
      <c r="C244" s="160" t="s">
        <v>274</v>
      </c>
      <c r="D244" s="161" t="s">
        <v>273</v>
      </c>
      <c r="E244" s="162"/>
      <c r="F244" s="163"/>
    </row>
    <row r="245" customHeight="1" spans="1:6">
      <c r="A245" s="158">
        <v>17</v>
      </c>
      <c r="B245" s="159"/>
      <c r="C245" s="160" t="s">
        <v>275</v>
      </c>
      <c r="D245" s="161" t="s">
        <v>273</v>
      </c>
      <c r="E245" s="162"/>
      <c r="F245" s="163"/>
    </row>
    <row r="246" customHeight="1" spans="1:6">
      <c r="A246" s="158">
        <v>18</v>
      </c>
      <c r="B246" s="159"/>
      <c r="C246" s="160" t="s">
        <v>276</v>
      </c>
      <c r="D246" s="161" t="s">
        <v>273</v>
      </c>
      <c r="E246" s="162"/>
      <c r="F246" s="163"/>
    </row>
    <row r="247" customHeight="1" spans="1:6">
      <c r="A247" s="158">
        <v>19</v>
      </c>
      <c r="B247" s="159"/>
      <c r="C247" s="160" t="s">
        <v>277</v>
      </c>
      <c r="D247" s="161" t="s">
        <v>273</v>
      </c>
      <c r="E247" s="162"/>
      <c r="F247" s="163"/>
    </row>
    <row r="248" customHeight="1" spans="1:6">
      <c r="A248" s="158">
        <v>20</v>
      </c>
      <c r="B248" s="159"/>
      <c r="C248" s="160" t="s">
        <v>278</v>
      </c>
      <c r="D248" s="161" t="s">
        <v>273</v>
      </c>
      <c r="E248" s="162"/>
      <c r="F248" s="163"/>
    </row>
    <row r="249" customHeight="1" spans="1:6">
      <c r="A249" s="158">
        <v>21</v>
      </c>
      <c r="B249" s="159"/>
      <c r="C249" s="160" t="s">
        <v>279</v>
      </c>
      <c r="D249" s="161" t="s">
        <v>273</v>
      </c>
      <c r="E249" s="162"/>
      <c r="F249" s="163"/>
    </row>
    <row r="250" customHeight="1" spans="1:6">
      <c r="A250" s="158">
        <v>22</v>
      </c>
      <c r="B250" s="159"/>
      <c r="C250" s="160" t="s">
        <v>280</v>
      </c>
      <c r="D250" s="161" t="s">
        <v>273</v>
      </c>
      <c r="E250" s="162"/>
      <c r="F250" s="163"/>
    </row>
    <row r="251" customHeight="1" spans="1:6">
      <c r="A251" s="158">
        <v>23</v>
      </c>
      <c r="B251" s="159"/>
      <c r="C251" s="160" t="s">
        <v>281</v>
      </c>
      <c r="D251" s="161" t="s">
        <v>273</v>
      </c>
      <c r="E251" s="162"/>
      <c r="F251" s="163"/>
    </row>
    <row r="252" customHeight="1" spans="1:6">
      <c r="A252" s="158">
        <v>24</v>
      </c>
      <c r="B252" s="159"/>
      <c r="C252" s="160" t="s">
        <v>282</v>
      </c>
      <c r="D252" s="161" t="s">
        <v>273</v>
      </c>
      <c r="E252" s="162"/>
      <c r="F252" s="163"/>
    </row>
    <row r="253" customHeight="1" spans="1:6">
      <c r="A253" s="158">
        <v>25</v>
      </c>
      <c r="B253" s="159"/>
      <c r="C253" s="160" t="s">
        <v>283</v>
      </c>
      <c r="D253" s="161" t="s">
        <v>273</v>
      </c>
      <c r="E253" s="162"/>
      <c r="F253" s="163"/>
    </row>
    <row r="254" customHeight="1" spans="1:6">
      <c r="A254" s="158">
        <v>26</v>
      </c>
      <c r="B254" s="159"/>
      <c r="C254" s="160" t="s">
        <v>284</v>
      </c>
      <c r="D254" s="161" t="s">
        <v>273</v>
      </c>
      <c r="E254" s="162"/>
      <c r="F254" s="163"/>
    </row>
    <row r="255" customHeight="1" spans="1:6">
      <c r="A255" s="158">
        <v>27</v>
      </c>
      <c r="B255" s="159"/>
      <c r="C255" s="160" t="s">
        <v>285</v>
      </c>
      <c r="D255" s="161" t="s">
        <v>273</v>
      </c>
      <c r="E255" s="162"/>
      <c r="F255" s="163"/>
    </row>
    <row r="256" customHeight="1" spans="1:6">
      <c r="A256" s="158">
        <v>28</v>
      </c>
      <c r="B256" s="159"/>
      <c r="C256" s="160" t="s">
        <v>286</v>
      </c>
      <c r="D256" s="161" t="s">
        <v>273</v>
      </c>
      <c r="E256" s="162"/>
      <c r="F256" s="163"/>
    </row>
    <row r="257" customHeight="1" spans="1:6">
      <c r="A257" s="158">
        <v>29</v>
      </c>
      <c r="B257" s="159"/>
      <c r="C257" s="160" t="s">
        <v>287</v>
      </c>
      <c r="D257" s="161" t="s">
        <v>273</v>
      </c>
      <c r="E257" s="162"/>
      <c r="F257" s="163"/>
    </row>
    <row r="258" customHeight="1" spans="1:6">
      <c r="A258" s="158">
        <v>30</v>
      </c>
      <c r="B258" s="159"/>
      <c r="C258" s="160" t="s">
        <v>288</v>
      </c>
      <c r="D258" s="161" t="s">
        <v>273</v>
      </c>
      <c r="E258" s="162"/>
      <c r="F258" s="163"/>
    </row>
    <row r="259" customHeight="1" spans="1:6">
      <c r="A259" s="158">
        <v>31</v>
      </c>
      <c r="B259" s="159"/>
      <c r="C259" s="160" t="s">
        <v>289</v>
      </c>
      <c r="D259" s="161" t="s">
        <v>290</v>
      </c>
      <c r="E259" s="162"/>
      <c r="F259" s="163"/>
    </row>
    <row r="260" customHeight="1" spans="1:6">
      <c r="A260" s="158">
        <v>32</v>
      </c>
      <c r="B260" s="159"/>
      <c r="C260" s="160" t="s">
        <v>291</v>
      </c>
      <c r="D260" s="161" t="s">
        <v>290</v>
      </c>
      <c r="E260" s="162"/>
      <c r="F260" s="163"/>
    </row>
    <row r="261" customHeight="1" spans="1:6">
      <c r="A261" s="158">
        <v>33</v>
      </c>
      <c r="B261" s="159"/>
      <c r="C261" s="160" t="s">
        <v>292</v>
      </c>
      <c r="D261" s="161" t="s">
        <v>290</v>
      </c>
      <c r="E261" s="162"/>
      <c r="F261" s="163"/>
    </row>
    <row r="262" customHeight="1" spans="1:6">
      <c r="A262" s="158">
        <v>34</v>
      </c>
      <c r="B262" s="159"/>
      <c r="C262" s="160" t="s">
        <v>293</v>
      </c>
      <c r="D262" s="161" t="s">
        <v>294</v>
      </c>
      <c r="E262" s="162"/>
      <c r="F262" s="163"/>
    </row>
    <row r="263" customHeight="1" spans="1:6">
      <c r="A263" s="158">
        <v>35</v>
      </c>
      <c r="B263" s="159"/>
      <c r="C263" s="160" t="s">
        <v>295</v>
      </c>
      <c r="D263" s="186" t="s">
        <v>296</v>
      </c>
      <c r="E263" s="162"/>
      <c r="F263" s="163"/>
    </row>
    <row r="264" customHeight="1" spans="1:6">
      <c r="A264" s="158">
        <v>36</v>
      </c>
      <c r="B264" s="159"/>
      <c r="C264" s="160" t="s">
        <v>297</v>
      </c>
      <c r="D264" s="186" t="s">
        <v>154</v>
      </c>
      <c r="E264" s="162"/>
      <c r="F264" s="163"/>
    </row>
    <row r="265" customHeight="1" spans="1:6">
      <c r="A265" s="158">
        <v>37</v>
      </c>
      <c r="B265" s="159"/>
      <c r="C265" s="160" t="s">
        <v>298</v>
      </c>
      <c r="D265" s="186" t="s">
        <v>154</v>
      </c>
      <c r="E265" s="162"/>
      <c r="F265" s="163"/>
    </row>
    <row r="266" customHeight="1" spans="1:6">
      <c r="A266" s="158">
        <v>38</v>
      </c>
      <c r="B266" s="159"/>
      <c r="C266" s="160" t="s">
        <v>299</v>
      </c>
      <c r="D266" s="186" t="s">
        <v>154</v>
      </c>
      <c r="E266" s="162"/>
      <c r="F266" s="163"/>
    </row>
    <row r="267" customHeight="1" spans="1:6">
      <c r="A267" s="158">
        <v>39</v>
      </c>
      <c r="B267" s="159"/>
      <c r="C267" s="160" t="s">
        <v>300</v>
      </c>
      <c r="D267" s="186" t="s">
        <v>154</v>
      </c>
      <c r="E267" s="162"/>
      <c r="F267" s="163"/>
    </row>
    <row r="268" customHeight="1" spans="1:6">
      <c r="A268" s="166" t="s">
        <v>301</v>
      </c>
      <c r="B268" s="167"/>
      <c r="C268" s="167"/>
      <c r="D268" s="167"/>
      <c r="E268" s="167"/>
      <c r="F268" s="168"/>
    </row>
    <row r="269" customHeight="1" spans="1:6">
      <c r="A269" s="158">
        <v>1</v>
      </c>
      <c r="B269" s="159"/>
      <c r="C269" s="160" t="s">
        <v>302</v>
      </c>
      <c r="D269" s="161" t="s">
        <v>146</v>
      </c>
      <c r="E269" s="162"/>
      <c r="F269" s="163"/>
    </row>
    <row r="270" customHeight="1" spans="1:6">
      <c r="A270" s="158">
        <v>2</v>
      </c>
      <c r="B270" s="159"/>
      <c r="C270" s="160" t="s">
        <v>303</v>
      </c>
      <c r="D270" s="161" t="s">
        <v>146</v>
      </c>
      <c r="E270" s="162"/>
      <c r="F270" s="163"/>
    </row>
    <row r="271" customHeight="1" spans="1:6">
      <c r="A271" s="158">
        <v>3</v>
      </c>
      <c r="B271" s="159"/>
      <c r="C271" s="160" t="s">
        <v>304</v>
      </c>
      <c r="D271" s="161" t="s">
        <v>146</v>
      </c>
      <c r="E271" s="162"/>
      <c r="F271" s="163"/>
    </row>
    <row r="272" customHeight="1" spans="1:6">
      <c r="A272" s="158">
        <v>4</v>
      </c>
      <c r="B272" s="159"/>
      <c r="C272" s="160" t="s">
        <v>305</v>
      </c>
      <c r="D272" s="161" t="s">
        <v>146</v>
      </c>
      <c r="E272" s="162"/>
      <c r="F272" s="163"/>
    </row>
    <row r="273" customHeight="1" spans="1:6">
      <c r="A273" s="158">
        <v>5</v>
      </c>
      <c r="B273" s="159"/>
      <c r="C273" s="160" t="s">
        <v>306</v>
      </c>
      <c r="D273" s="161" t="s">
        <v>146</v>
      </c>
      <c r="E273" s="162"/>
      <c r="F273" s="163"/>
    </row>
    <row r="274" customHeight="1" spans="1:6">
      <c r="A274" s="158">
        <v>6</v>
      </c>
      <c r="B274" s="159"/>
      <c r="C274" s="160" t="s">
        <v>307</v>
      </c>
      <c r="D274" s="161" t="s">
        <v>146</v>
      </c>
      <c r="E274" s="162"/>
      <c r="F274" s="163"/>
    </row>
    <row r="275" customHeight="1" spans="1:6">
      <c r="A275" s="158">
        <v>7</v>
      </c>
      <c r="B275" s="159"/>
      <c r="C275" s="187" t="s">
        <v>308</v>
      </c>
      <c r="D275" s="161" t="s">
        <v>146</v>
      </c>
      <c r="E275" s="162"/>
      <c r="F275" s="163"/>
    </row>
    <row r="276" customHeight="1" spans="1:6">
      <c r="A276" s="158">
        <v>8</v>
      </c>
      <c r="B276" s="159"/>
      <c r="C276" s="187" t="s">
        <v>309</v>
      </c>
      <c r="D276" s="161" t="s">
        <v>146</v>
      </c>
      <c r="E276" s="162"/>
      <c r="F276" s="163"/>
    </row>
    <row r="277" customHeight="1" spans="1:6">
      <c r="A277" s="158">
        <v>9</v>
      </c>
      <c r="B277" s="159"/>
      <c r="C277" s="160" t="s">
        <v>310</v>
      </c>
      <c r="D277" s="161" t="s">
        <v>146</v>
      </c>
      <c r="E277" s="162"/>
      <c r="F277" s="163"/>
    </row>
    <row r="278" customHeight="1" spans="1:6">
      <c r="A278" s="158">
        <v>10</v>
      </c>
      <c r="B278" s="159"/>
      <c r="C278" s="160" t="s">
        <v>311</v>
      </c>
      <c r="D278" s="161" t="s">
        <v>146</v>
      </c>
      <c r="E278" s="162"/>
      <c r="F278" s="163"/>
    </row>
    <row r="279" customHeight="1" spans="1:6">
      <c r="A279" s="158">
        <v>11</v>
      </c>
      <c r="B279" s="159"/>
      <c r="C279" s="160" t="s">
        <v>312</v>
      </c>
      <c r="D279" s="161" t="s">
        <v>146</v>
      </c>
      <c r="E279" s="162"/>
      <c r="F279" s="163"/>
    </row>
    <row r="280" customHeight="1" spans="1:6">
      <c r="A280" s="158">
        <v>12</v>
      </c>
      <c r="B280" s="159"/>
      <c r="C280" s="160" t="s">
        <v>313</v>
      </c>
      <c r="D280" s="161" t="s">
        <v>59</v>
      </c>
      <c r="E280" s="162"/>
      <c r="F280" s="163"/>
    </row>
    <row r="281" customHeight="1" spans="1:6">
      <c r="A281" s="158">
        <v>13</v>
      </c>
      <c r="B281" s="159"/>
      <c r="C281" s="160" t="s">
        <v>314</v>
      </c>
      <c r="D281" s="161" t="s">
        <v>59</v>
      </c>
      <c r="E281" s="162"/>
      <c r="F281" s="163"/>
    </row>
    <row r="282" customHeight="1" spans="1:6">
      <c r="A282" s="158">
        <v>14</v>
      </c>
      <c r="B282" s="159"/>
      <c r="C282" s="160" t="s">
        <v>315</v>
      </c>
      <c r="D282" s="161" t="s">
        <v>59</v>
      </c>
      <c r="E282" s="162"/>
      <c r="F282" s="163"/>
    </row>
    <row r="283" customHeight="1" spans="1:6">
      <c r="A283" s="158">
        <v>15</v>
      </c>
      <c r="B283" s="159"/>
      <c r="C283" s="160" t="s">
        <v>316</v>
      </c>
      <c r="D283" s="161" t="s">
        <v>59</v>
      </c>
      <c r="E283" s="162"/>
      <c r="F283" s="163"/>
    </row>
    <row r="284" customHeight="1" spans="1:6">
      <c r="A284" s="158">
        <v>16</v>
      </c>
      <c r="B284" s="159"/>
      <c r="C284" s="160" t="s">
        <v>317</v>
      </c>
      <c r="D284" s="161" t="s">
        <v>59</v>
      </c>
      <c r="E284" s="162"/>
      <c r="F284" s="163"/>
    </row>
    <row r="285" customHeight="1" spans="1:6">
      <c r="A285" s="182" t="s">
        <v>318</v>
      </c>
      <c r="B285" s="183"/>
      <c r="C285" s="183"/>
      <c r="D285" s="183"/>
      <c r="E285" s="183"/>
      <c r="F285" s="184"/>
    </row>
    <row r="286" customHeight="1" spans="1:6">
      <c r="A286" s="158">
        <v>1</v>
      </c>
      <c r="B286" s="159"/>
      <c r="C286" s="160" t="s">
        <v>319</v>
      </c>
      <c r="D286" s="161" t="s">
        <v>320</v>
      </c>
      <c r="E286" s="162"/>
      <c r="F286" s="163"/>
    </row>
    <row r="287" customHeight="1" spans="1:6">
      <c r="A287" s="158">
        <v>2</v>
      </c>
      <c r="B287" s="159"/>
      <c r="C287" s="160" t="s">
        <v>321</v>
      </c>
      <c r="D287" s="161" t="s">
        <v>320</v>
      </c>
      <c r="E287" s="162"/>
      <c r="F287" s="163"/>
    </row>
    <row r="288" customHeight="1" spans="1:6">
      <c r="A288" s="158">
        <v>3</v>
      </c>
      <c r="B288" s="159"/>
      <c r="C288" s="160" t="s">
        <v>322</v>
      </c>
      <c r="D288" s="161" t="s">
        <v>320</v>
      </c>
      <c r="E288" s="162"/>
      <c r="F288" s="163"/>
    </row>
    <row r="289" customHeight="1" spans="1:6">
      <c r="A289" s="158">
        <v>4</v>
      </c>
      <c r="B289" s="159"/>
      <c r="C289" s="160" t="s">
        <v>323</v>
      </c>
      <c r="D289" s="161" t="s">
        <v>320</v>
      </c>
      <c r="E289" s="162"/>
      <c r="F289" s="163"/>
    </row>
    <row r="290" customHeight="1" spans="1:6">
      <c r="A290" s="158">
        <v>5</v>
      </c>
      <c r="B290" s="159"/>
      <c r="C290" s="160" t="s">
        <v>324</v>
      </c>
      <c r="D290" s="161" t="s">
        <v>320</v>
      </c>
      <c r="E290" s="162"/>
      <c r="F290" s="163"/>
    </row>
    <row r="291" customHeight="1" spans="1:6">
      <c r="A291" s="158">
        <v>6</v>
      </c>
      <c r="B291" s="159"/>
      <c r="C291" s="160" t="s">
        <v>325</v>
      </c>
      <c r="D291" s="161" t="s">
        <v>320</v>
      </c>
      <c r="E291" s="162"/>
      <c r="F291" s="163"/>
    </row>
    <row r="292" customHeight="1" spans="1:6">
      <c r="A292" s="158">
        <v>7</v>
      </c>
      <c r="B292" s="159"/>
      <c r="C292" s="160" t="s">
        <v>326</v>
      </c>
      <c r="D292" s="161" t="s">
        <v>320</v>
      </c>
      <c r="E292" s="162"/>
      <c r="F292" s="163"/>
    </row>
    <row r="293" customHeight="1" spans="1:6">
      <c r="A293" s="158">
        <v>8</v>
      </c>
      <c r="B293" s="159"/>
      <c r="C293" s="160" t="s">
        <v>327</v>
      </c>
      <c r="D293" s="161" t="s">
        <v>320</v>
      </c>
      <c r="E293" s="162"/>
      <c r="F293" s="163"/>
    </row>
    <row r="294" customHeight="1" spans="1:6">
      <c r="A294" s="158">
        <v>9</v>
      </c>
      <c r="B294" s="159"/>
      <c r="C294" s="160" t="s">
        <v>328</v>
      </c>
      <c r="D294" s="161" t="s">
        <v>320</v>
      </c>
      <c r="E294" s="162"/>
      <c r="F294" s="163"/>
    </row>
    <row r="295" customHeight="1" spans="1:6">
      <c r="A295" s="158">
        <v>10</v>
      </c>
      <c r="B295" s="159"/>
      <c r="C295" s="160" t="s">
        <v>329</v>
      </c>
      <c r="D295" s="161" t="s">
        <v>320</v>
      </c>
      <c r="E295" s="162"/>
      <c r="F295" s="163"/>
    </row>
    <row r="296" customHeight="1" spans="1:6">
      <c r="A296" s="158">
        <v>11</v>
      </c>
      <c r="B296" s="159"/>
      <c r="C296" s="160" t="s">
        <v>330</v>
      </c>
      <c r="D296" s="161" t="s">
        <v>320</v>
      </c>
      <c r="E296" s="162"/>
      <c r="F296" s="163"/>
    </row>
    <row r="297" customHeight="1" spans="1:6">
      <c r="A297" s="158">
        <v>12</v>
      </c>
      <c r="B297" s="159"/>
      <c r="C297" s="160" t="s">
        <v>331</v>
      </c>
      <c r="D297" s="161" t="s">
        <v>320</v>
      </c>
      <c r="E297" s="162"/>
      <c r="F297" s="163"/>
    </row>
    <row r="298" customHeight="1" spans="1:6">
      <c r="A298" s="158">
        <v>13</v>
      </c>
      <c r="B298" s="159"/>
      <c r="C298" s="160" t="s">
        <v>332</v>
      </c>
      <c r="D298" s="161" t="s">
        <v>320</v>
      </c>
      <c r="E298" s="162"/>
      <c r="F298" s="163"/>
    </row>
    <row r="299" customHeight="1" spans="1:6">
      <c r="A299" s="158">
        <v>14</v>
      </c>
      <c r="B299" s="159"/>
      <c r="C299" s="160" t="s">
        <v>333</v>
      </c>
      <c r="D299" s="161" t="s">
        <v>320</v>
      </c>
      <c r="E299" s="162"/>
      <c r="F299" s="163"/>
    </row>
    <row r="300" customHeight="1" spans="1:6">
      <c r="A300" s="158">
        <v>15</v>
      </c>
      <c r="B300" s="159"/>
      <c r="C300" s="160" t="s">
        <v>334</v>
      </c>
      <c r="D300" s="161" t="s">
        <v>320</v>
      </c>
      <c r="E300" s="162"/>
      <c r="F300" s="163"/>
    </row>
    <row r="301" customHeight="1" spans="1:6">
      <c r="A301" s="158">
        <v>16</v>
      </c>
      <c r="B301" s="159"/>
      <c r="C301" s="160" t="s">
        <v>335</v>
      </c>
      <c r="D301" s="161" t="s">
        <v>320</v>
      </c>
      <c r="E301" s="162"/>
      <c r="F301" s="163"/>
    </row>
    <row r="302" customHeight="1" spans="1:6">
      <c r="A302" s="158">
        <v>17</v>
      </c>
      <c r="B302" s="159"/>
      <c r="C302" s="160" t="s">
        <v>336</v>
      </c>
      <c r="D302" s="161" t="s">
        <v>320</v>
      </c>
      <c r="E302" s="162"/>
      <c r="F302" s="163"/>
    </row>
    <row r="303" customHeight="1" spans="1:6">
      <c r="A303" s="158">
        <v>18</v>
      </c>
      <c r="B303" s="159"/>
      <c r="C303" s="160" t="s">
        <v>337</v>
      </c>
      <c r="D303" s="161" t="s">
        <v>320</v>
      </c>
      <c r="E303" s="162"/>
      <c r="F303" s="163"/>
    </row>
    <row r="304" customHeight="1" spans="1:6">
      <c r="A304" s="158">
        <v>19</v>
      </c>
      <c r="B304" s="159"/>
      <c r="C304" s="160" t="s">
        <v>338</v>
      </c>
      <c r="D304" s="161" t="s">
        <v>320</v>
      </c>
      <c r="E304" s="162"/>
      <c r="F304" s="163"/>
    </row>
    <row r="305" customHeight="1" spans="1:6">
      <c r="A305" s="158">
        <v>20</v>
      </c>
      <c r="B305" s="159"/>
      <c r="C305" s="160" t="s">
        <v>339</v>
      </c>
      <c r="D305" s="161" t="s">
        <v>320</v>
      </c>
      <c r="E305" s="162"/>
      <c r="F305" s="163"/>
    </row>
    <row r="306" customHeight="1" spans="1:6">
      <c r="A306" s="158">
        <v>21</v>
      </c>
      <c r="B306" s="159"/>
      <c r="C306" s="160" t="s">
        <v>340</v>
      </c>
      <c r="D306" s="161" t="s">
        <v>320</v>
      </c>
      <c r="E306" s="162"/>
      <c r="F306" s="163"/>
    </row>
    <row r="307" customHeight="1" spans="1:6">
      <c r="A307" s="158">
        <v>22</v>
      </c>
      <c r="B307" s="159"/>
      <c r="C307" s="160" t="s">
        <v>341</v>
      </c>
      <c r="D307" s="161" t="s">
        <v>320</v>
      </c>
      <c r="E307" s="162"/>
      <c r="F307" s="163"/>
    </row>
    <row r="308" customHeight="1" spans="1:6">
      <c r="A308" s="158">
        <v>23</v>
      </c>
      <c r="B308" s="159"/>
      <c r="C308" s="160" t="s">
        <v>342</v>
      </c>
      <c r="D308" s="161" t="s">
        <v>320</v>
      </c>
      <c r="E308" s="162"/>
      <c r="F308" s="163"/>
    </row>
    <row r="309" customHeight="1" spans="1:6">
      <c r="A309" s="158">
        <v>24</v>
      </c>
      <c r="B309" s="159"/>
      <c r="C309" s="160" t="s">
        <v>343</v>
      </c>
      <c r="D309" s="161" t="s">
        <v>320</v>
      </c>
      <c r="E309" s="162"/>
      <c r="F309" s="163"/>
    </row>
    <row r="310" customHeight="1" spans="1:6">
      <c r="A310" s="158">
        <v>25</v>
      </c>
      <c r="B310" s="159"/>
      <c r="C310" s="160" t="s">
        <v>344</v>
      </c>
      <c r="D310" s="161" t="s">
        <v>320</v>
      </c>
      <c r="E310" s="162"/>
      <c r="F310" s="163"/>
    </row>
    <row r="311" customHeight="1" spans="1:6">
      <c r="A311" s="158">
        <v>26</v>
      </c>
      <c r="B311" s="159"/>
      <c r="C311" s="160" t="s">
        <v>345</v>
      </c>
      <c r="D311" s="161" t="s">
        <v>320</v>
      </c>
      <c r="E311" s="162"/>
      <c r="F311" s="163"/>
    </row>
    <row r="312" customHeight="1" spans="1:6">
      <c r="A312" s="158">
        <v>27</v>
      </c>
      <c r="B312" s="159"/>
      <c r="C312" s="160" t="s">
        <v>346</v>
      </c>
      <c r="D312" s="161" t="s">
        <v>320</v>
      </c>
      <c r="E312" s="162"/>
      <c r="F312" s="163"/>
    </row>
    <row r="313" customHeight="1" spans="1:6">
      <c r="A313" s="158">
        <v>28</v>
      </c>
      <c r="B313" s="159"/>
      <c r="C313" s="160" t="s">
        <v>347</v>
      </c>
      <c r="D313" s="161" t="s">
        <v>320</v>
      </c>
      <c r="E313" s="162"/>
      <c r="F313" s="163"/>
    </row>
    <row r="314" customHeight="1" spans="1:6">
      <c r="A314" s="158">
        <v>29</v>
      </c>
      <c r="B314" s="159"/>
      <c r="C314" s="160" t="s">
        <v>348</v>
      </c>
      <c r="D314" s="161" t="s">
        <v>320</v>
      </c>
      <c r="E314" s="162"/>
      <c r="F314" s="163"/>
    </row>
    <row r="315" customHeight="1" spans="1:6">
      <c r="A315" s="158">
        <v>30</v>
      </c>
      <c r="B315" s="159"/>
      <c r="C315" s="160" t="s">
        <v>349</v>
      </c>
      <c r="D315" s="161" t="s">
        <v>320</v>
      </c>
      <c r="E315" s="162"/>
      <c r="F315" s="163"/>
    </row>
    <row r="316" customHeight="1" spans="1:6">
      <c r="A316" s="158">
        <v>31</v>
      </c>
      <c r="B316" s="159"/>
      <c r="C316" s="160" t="s">
        <v>350</v>
      </c>
      <c r="D316" s="161" t="s">
        <v>320</v>
      </c>
      <c r="E316" s="162"/>
      <c r="F316" s="163"/>
    </row>
    <row r="317" customHeight="1" spans="1:6">
      <c r="A317" s="158">
        <v>32</v>
      </c>
      <c r="B317" s="159"/>
      <c r="C317" s="160" t="s">
        <v>351</v>
      </c>
      <c r="D317" s="161" t="s">
        <v>320</v>
      </c>
      <c r="E317" s="162"/>
      <c r="F317" s="163"/>
    </row>
    <row r="318" customHeight="1" spans="1:6">
      <c r="A318" s="158">
        <v>33</v>
      </c>
      <c r="B318" s="159"/>
      <c r="C318" s="160" t="s">
        <v>352</v>
      </c>
      <c r="D318" s="161" t="s">
        <v>320</v>
      </c>
      <c r="E318" s="162"/>
      <c r="F318" s="163"/>
    </row>
    <row r="319" customHeight="1" spans="1:6">
      <c r="A319" s="158">
        <v>34</v>
      </c>
      <c r="B319" s="159"/>
      <c r="C319" s="160" t="s">
        <v>353</v>
      </c>
      <c r="D319" s="161" t="s">
        <v>320</v>
      </c>
      <c r="E319" s="162"/>
      <c r="F319" s="163"/>
    </row>
    <row r="320" customHeight="1" spans="1:6">
      <c r="A320" s="158">
        <v>35</v>
      </c>
      <c r="B320" s="159"/>
      <c r="C320" s="160" t="s">
        <v>354</v>
      </c>
      <c r="D320" s="161" t="s">
        <v>320</v>
      </c>
      <c r="E320" s="162"/>
      <c r="F320" s="163"/>
    </row>
    <row r="321" customHeight="1" spans="1:6">
      <c r="A321" s="158">
        <v>36</v>
      </c>
      <c r="B321" s="159"/>
      <c r="C321" s="160" t="s">
        <v>355</v>
      </c>
      <c r="D321" s="161" t="s">
        <v>320</v>
      </c>
      <c r="E321" s="162"/>
      <c r="F321" s="163"/>
    </row>
    <row r="322" customHeight="1" spans="1:6">
      <c r="A322" s="158">
        <v>37</v>
      </c>
      <c r="B322" s="159"/>
      <c r="C322" s="160" t="s">
        <v>356</v>
      </c>
      <c r="D322" s="161" t="s">
        <v>320</v>
      </c>
      <c r="E322" s="162"/>
      <c r="F322" s="163"/>
    </row>
    <row r="323" customHeight="1" spans="1:6">
      <c r="A323" s="158">
        <v>38</v>
      </c>
      <c r="B323" s="159"/>
      <c r="C323" s="160" t="s">
        <v>357</v>
      </c>
      <c r="D323" s="161" t="s">
        <v>320</v>
      </c>
      <c r="E323" s="162"/>
      <c r="F323" s="163"/>
    </row>
    <row r="324" customHeight="1" spans="1:6">
      <c r="A324" s="158">
        <v>39</v>
      </c>
      <c r="B324" s="159"/>
      <c r="C324" s="160" t="s">
        <v>358</v>
      </c>
      <c r="D324" s="161" t="s">
        <v>320</v>
      </c>
      <c r="E324" s="162"/>
      <c r="F324" s="163"/>
    </row>
    <row r="325" customHeight="1" spans="1:6">
      <c r="A325" s="158">
        <v>40</v>
      </c>
      <c r="B325" s="159"/>
      <c r="C325" s="160" t="s">
        <v>359</v>
      </c>
      <c r="D325" s="161" t="s">
        <v>320</v>
      </c>
      <c r="E325" s="162"/>
      <c r="F325" s="163"/>
    </row>
    <row r="326" customHeight="1" spans="1:6">
      <c r="A326" s="158">
        <v>41</v>
      </c>
      <c r="B326" s="159"/>
      <c r="C326" s="160" t="s">
        <v>360</v>
      </c>
      <c r="D326" s="161" t="s">
        <v>320</v>
      </c>
      <c r="E326" s="162"/>
      <c r="F326" s="163"/>
    </row>
    <row r="327" customHeight="1" spans="1:6">
      <c r="A327" s="158">
        <v>42</v>
      </c>
      <c r="B327" s="159"/>
      <c r="C327" s="160" t="s">
        <v>361</v>
      </c>
      <c r="D327" s="161" t="s">
        <v>320</v>
      </c>
      <c r="E327" s="162"/>
      <c r="F327" s="163"/>
    </row>
    <row r="328" customHeight="1" spans="1:6">
      <c r="A328" s="158">
        <v>43</v>
      </c>
      <c r="B328" s="159"/>
      <c r="C328" s="160" t="s">
        <v>362</v>
      </c>
      <c r="D328" s="161" t="s">
        <v>320</v>
      </c>
      <c r="E328" s="162"/>
      <c r="F328" s="163"/>
    </row>
    <row r="329" customHeight="1" spans="1:6">
      <c r="A329" s="158">
        <v>44</v>
      </c>
      <c r="B329" s="159"/>
      <c r="C329" s="160" t="s">
        <v>363</v>
      </c>
      <c r="D329" s="161" t="s">
        <v>320</v>
      </c>
      <c r="E329" s="162"/>
      <c r="F329" s="163"/>
    </row>
    <row r="330" customHeight="1" spans="1:6">
      <c r="A330" s="158">
        <v>45</v>
      </c>
      <c r="B330" s="159"/>
      <c r="C330" s="160" t="s">
        <v>364</v>
      </c>
      <c r="D330" s="161" t="s">
        <v>320</v>
      </c>
      <c r="E330" s="162"/>
      <c r="F330" s="163"/>
    </row>
    <row r="331" customHeight="1" spans="1:6">
      <c r="A331" s="158">
        <v>46</v>
      </c>
      <c r="B331" s="159"/>
      <c r="C331" s="160" t="s">
        <v>365</v>
      </c>
      <c r="D331" s="161" t="s">
        <v>320</v>
      </c>
      <c r="E331" s="162"/>
      <c r="F331" s="163"/>
    </row>
    <row r="332" customHeight="1" spans="1:6">
      <c r="A332" s="158">
        <v>47</v>
      </c>
      <c r="B332" s="159"/>
      <c r="C332" s="160" t="s">
        <v>366</v>
      </c>
      <c r="D332" s="161" t="s">
        <v>320</v>
      </c>
      <c r="E332" s="162"/>
      <c r="F332" s="163"/>
    </row>
    <row r="333" customHeight="1" spans="1:6">
      <c r="A333" s="158">
        <v>48</v>
      </c>
      <c r="B333" s="159"/>
      <c r="C333" s="160" t="s">
        <v>367</v>
      </c>
      <c r="D333" s="161" t="s">
        <v>320</v>
      </c>
      <c r="E333" s="162"/>
      <c r="F333" s="163"/>
    </row>
    <row r="334" customHeight="1" spans="1:6">
      <c r="A334" s="158">
        <v>49</v>
      </c>
      <c r="B334" s="159"/>
      <c r="C334" s="160" t="s">
        <v>368</v>
      </c>
      <c r="D334" s="161" t="s">
        <v>369</v>
      </c>
      <c r="E334" s="162"/>
      <c r="F334" s="163"/>
    </row>
    <row r="335" customHeight="1" spans="1:6">
      <c r="A335" s="158">
        <v>50</v>
      </c>
      <c r="B335" s="159"/>
      <c r="C335" s="160" t="s">
        <v>370</v>
      </c>
      <c r="D335" s="161" t="s">
        <v>369</v>
      </c>
      <c r="E335" s="162"/>
      <c r="F335" s="163"/>
    </row>
    <row r="336" customHeight="1" spans="1:6">
      <c r="A336" s="158">
        <v>51</v>
      </c>
      <c r="B336" s="159"/>
      <c r="C336" s="160" t="s">
        <v>371</v>
      </c>
      <c r="D336" s="161" t="s">
        <v>369</v>
      </c>
      <c r="E336" s="162"/>
      <c r="F336" s="163"/>
    </row>
    <row r="337" customHeight="1" spans="1:6">
      <c r="A337" s="158">
        <v>52</v>
      </c>
      <c r="B337" s="159"/>
      <c r="C337" s="160" t="s">
        <v>372</v>
      </c>
      <c r="D337" s="161" t="s">
        <v>369</v>
      </c>
      <c r="E337" s="162"/>
      <c r="F337" s="163"/>
    </row>
    <row r="338" customHeight="1" spans="1:6">
      <c r="A338" s="166" t="s">
        <v>373</v>
      </c>
      <c r="B338" s="167"/>
      <c r="C338" s="167"/>
      <c r="D338" s="167"/>
      <c r="E338" s="167"/>
      <c r="F338" s="168"/>
    </row>
    <row r="339" customHeight="1" spans="1:6">
      <c r="A339" s="158">
        <v>1</v>
      </c>
      <c r="B339" s="159"/>
      <c r="C339" s="160" t="s">
        <v>374</v>
      </c>
      <c r="D339" s="161" t="s">
        <v>75</v>
      </c>
      <c r="E339" s="162"/>
      <c r="F339" s="163"/>
    </row>
    <row r="340" customHeight="1" spans="1:6">
      <c r="A340" s="158">
        <v>2</v>
      </c>
      <c r="B340" s="159"/>
      <c r="C340" s="160" t="s">
        <v>375</v>
      </c>
      <c r="D340" s="161" t="s">
        <v>75</v>
      </c>
      <c r="E340" s="162"/>
      <c r="F340" s="163"/>
    </row>
    <row r="341" customHeight="1" spans="1:6">
      <c r="A341" s="158">
        <v>3</v>
      </c>
      <c r="B341" s="159"/>
      <c r="C341" s="160" t="s">
        <v>376</v>
      </c>
      <c r="D341" s="161" t="s">
        <v>75</v>
      </c>
      <c r="E341" s="162"/>
      <c r="F341" s="163"/>
    </row>
    <row r="342" customHeight="1" spans="1:6">
      <c r="A342" s="158">
        <v>4</v>
      </c>
      <c r="B342" s="159"/>
      <c r="C342" s="160" t="s">
        <v>377</v>
      </c>
      <c r="D342" s="161" t="s">
        <v>75</v>
      </c>
      <c r="E342" s="162"/>
      <c r="F342" s="163"/>
    </row>
    <row r="343" customHeight="1" spans="1:6">
      <c r="A343" s="158">
        <v>5</v>
      </c>
      <c r="B343" s="159"/>
      <c r="C343" s="160" t="s">
        <v>378</v>
      </c>
      <c r="D343" s="161" t="s">
        <v>75</v>
      </c>
      <c r="E343" s="162"/>
      <c r="F343" s="163"/>
    </row>
    <row r="344" customHeight="1" spans="1:6">
      <c r="A344" s="158">
        <v>6</v>
      </c>
      <c r="B344" s="159"/>
      <c r="C344" s="160" t="s">
        <v>379</v>
      </c>
      <c r="D344" s="161" t="s">
        <v>75</v>
      </c>
      <c r="E344" s="162"/>
      <c r="F344" s="163"/>
    </row>
    <row r="345" customHeight="1" spans="1:6">
      <c r="A345" s="158">
        <v>7</v>
      </c>
      <c r="B345" s="159"/>
      <c r="C345" s="160" t="s">
        <v>380</v>
      </c>
      <c r="D345" s="161" t="s">
        <v>75</v>
      </c>
      <c r="E345" s="162"/>
      <c r="F345" s="163"/>
    </row>
    <row r="346" customHeight="1" spans="1:6">
      <c r="A346" s="158">
        <v>8</v>
      </c>
      <c r="B346" s="159"/>
      <c r="C346" s="160" t="s">
        <v>381</v>
      </c>
      <c r="D346" s="161" t="s">
        <v>75</v>
      </c>
      <c r="E346" s="162"/>
      <c r="F346" s="163"/>
    </row>
    <row r="347" customHeight="1" spans="1:6">
      <c r="A347" s="158">
        <v>9</v>
      </c>
      <c r="B347" s="159"/>
      <c r="C347" s="160" t="s">
        <v>382</v>
      </c>
      <c r="D347" s="161" t="s">
        <v>75</v>
      </c>
      <c r="E347" s="162"/>
      <c r="F347" s="163"/>
    </row>
    <row r="348" customHeight="1" spans="1:6">
      <c r="A348" s="158">
        <v>10</v>
      </c>
      <c r="B348" s="159"/>
      <c r="C348" s="160" t="s">
        <v>383</v>
      </c>
      <c r="D348" s="161" t="s">
        <v>75</v>
      </c>
      <c r="E348" s="162"/>
      <c r="F348" s="163"/>
    </row>
    <row r="349" customHeight="1" spans="1:6">
      <c r="A349" s="158">
        <v>11</v>
      </c>
      <c r="B349" s="159"/>
      <c r="C349" s="160" t="s">
        <v>384</v>
      </c>
      <c r="D349" s="161" t="s">
        <v>75</v>
      </c>
      <c r="E349" s="162"/>
      <c r="F349" s="163"/>
    </row>
    <row r="350" customHeight="1" spans="1:6">
      <c r="A350" s="158">
        <v>12</v>
      </c>
      <c r="B350" s="159"/>
      <c r="C350" s="160" t="s">
        <v>385</v>
      </c>
      <c r="D350" s="161" t="s">
        <v>75</v>
      </c>
      <c r="E350" s="162"/>
      <c r="F350" s="163"/>
    </row>
    <row r="351" customHeight="1" spans="1:6">
      <c r="A351" s="158">
        <v>13</v>
      </c>
      <c r="B351" s="159"/>
      <c r="C351" s="160" t="s">
        <v>386</v>
      </c>
      <c r="D351" s="161" t="s">
        <v>75</v>
      </c>
      <c r="E351" s="162"/>
      <c r="F351" s="163"/>
    </row>
    <row r="352" customHeight="1" spans="1:6">
      <c r="A352" s="158">
        <v>14</v>
      </c>
      <c r="B352" s="159"/>
      <c r="C352" s="160" t="s">
        <v>387</v>
      </c>
      <c r="D352" s="161" t="s">
        <v>75</v>
      </c>
      <c r="E352" s="162"/>
      <c r="F352" s="163"/>
    </row>
    <row r="353" customHeight="1" spans="1:6">
      <c r="A353" s="158">
        <v>15</v>
      </c>
      <c r="B353" s="159"/>
      <c r="C353" s="160" t="s">
        <v>388</v>
      </c>
      <c r="D353" s="161" t="s">
        <v>75</v>
      </c>
      <c r="E353" s="162"/>
      <c r="F353" s="163"/>
    </row>
    <row r="354" customHeight="1" spans="1:6">
      <c r="A354" s="158">
        <v>16</v>
      </c>
      <c r="B354" s="159"/>
      <c r="C354" s="160" t="s">
        <v>389</v>
      </c>
      <c r="D354" s="161" t="s">
        <v>154</v>
      </c>
      <c r="E354" s="162"/>
      <c r="F354" s="163"/>
    </row>
    <row r="355" customHeight="1" spans="1:6">
      <c r="A355" s="158">
        <v>17</v>
      </c>
      <c r="B355" s="159"/>
      <c r="C355" s="160" t="s">
        <v>390</v>
      </c>
      <c r="D355" s="161" t="s">
        <v>154</v>
      </c>
      <c r="E355" s="162"/>
      <c r="F355" s="163"/>
    </row>
    <row r="356" customHeight="1" spans="1:6">
      <c r="A356" s="158">
        <v>18</v>
      </c>
      <c r="B356" s="159"/>
      <c r="C356" s="160" t="s">
        <v>391</v>
      </c>
      <c r="D356" s="161" t="s">
        <v>154</v>
      </c>
      <c r="E356" s="162"/>
      <c r="F356" s="163"/>
    </row>
    <row r="357" customHeight="1" spans="1:6">
      <c r="A357" s="158">
        <v>19</v>
      </c>
      <c r="B357" s="159"/>
      <c r="C357" s="160" t="s">
        <v>392</v>
      </c>
      <c r="D357" s="161" t="s">
        <v>154</v>
      </c>
      <c r="E357" s="162"/>
      <c r="F357" s="163"/>
    </row>
    <row r="358" customHeight="1" spans="1:6">
      <c r="A358" s="158">
        <v>20</v>
      </c>
      <c r="B358" s="159"/>
      <c r="C358" s="160" t="s">
        <v>393</v>
      </c>
      <c r="D358" s="161" t="s">
        <v>75</v>
      </c>
      <c r="E358" s="162"/>
      <c r="F358" s="163"/>
    </row>
    <row r="359" customHeight="1" spans="1:6">
      <c r="A359" s="158">
        <v>21</v>
      </c>
      <c r="B359" s="159"/>
      <c r="C359" s="160" t="s">
        <v>394</v>
      </c>
      <c r="D359" s="161" t="s">
        <v>75</v>
      </c>
      <c r="E359" s="162"/>
      <c r="F359" s="163"/>
    </row>
    <row r="360" customHeight="1" spans="1:6">
      <c r="A360" s="158">
        <v>22</v>
      </c>
      <c r="B360" s="159"/>
      <c r="C360" s="160" t="s">
        <v>395</v>
      </c>
      <c r="D360" s="161" t="s">
        <v>75</v>
      </c>
      <c r="E360" s="162"/>
      <c r="F360" s="163"/>
    </row>
    <row r="361" customHeight="1" spans="1:6">
      <c r="A361" s="158">
        <v>23</v>
      </c>
      <c r="B361" s="159"/>
      <c r="C361" s="160" t="s">
        <v>396</v>
      </c>
      <c r="D361" s="161" t="s">
        <v>75</v>
      </c>
      <c r="E361" s="162"/>
      <c r="F361" s="163"/>
    </row>
    <row r="362" customHeight="1" spans="1:6">
      <c r="A362" s="158">
        <v>24</v>
      </c>
      <c r="B362" s="159"/>
      <c r="C362" s="160" t="s">
        <v>397</v>
      </c>
      <c r="D362" s="161" t="s">
        <v>75</v>
      </c>
      <c r="E362" s="162"/>
      <c r="F362" s="163"/>
    </row>
    <row r="363" customHeight="1" spans="1:6">
      <c r="A363" s="158">
        <v>25</v>
      </c>
      <c r="B363" s="159"/>
      <c r="C363" s="160" t="s">
        <v>398</v>
      </c>
      <c r="D363" s="161" t="s">
        <v>75</v>
      </c>
      <c r="E363" s="162"/>
      <c r="F363" s="163"/>
    </row>
    <row r="364" customHeight="1" spans="1:6">
      <c r="A364" s="158">
        <v>26</v>
      </c>
      <c r="B364" s="159"/>
      <c r="C364" s="160" t="s">
        <v>399</v>
      </c>
      <c r="D364" s="161" t="s">
        <v>75</v>
      </c>
      <c r="E364" s="162"/>
      <c r="F364" s="163"/>
    </row>
    <row r="365" customHeight="1" spans="1:6">
      <c r="A365" s="158">
        <v>27</v>
      </c>
      <c r="B365" s="159"/>
      <c r="C365" s="160" t="s">
        <v>400</v>
      </c>
      <c r="D365" s="161" t="s">
        <v>75</v>
      </c>
      <c r="E365" s="162"/>
      <c r="F365" s="163"/>
    </row>
    <row r="366" customHeight="1" spans="1:6">
      <c r="A366" s="158">
        <v>28</v>
      </c>
      <c r="B366" s="159"/>
      <c r="C366" s="160" t="s">
        <v>401</v>
      </c>
      <c r="D366" s="161" t="s">
        <v>75</v>
      </c>
      <c r="E366" s="162"/>
      <c r="F366" s="163"/>
    </row>
    <row r="367" customHeight="1" spans="1:6">
      <c r="A367" s="158">
        <v>29</v>
      </c>
      <c r="B367" s="159"/>
      <c r="C367" s="160" t="s">
        <v>402</v>
      </c>
      <c r="D367" s="161" t="s">
        <v>75</v>
      </c>
      <c r="E367" s="162"/>
      <c r="F367" s="163"/>
    </row>
    <row r="368" customHeight="1" spans="1:6">
      <c r="A368" s="166" t="s">
        <v>403</v>
      </c>
      <c r="B368" s="167"/>
      <c r="C368" s="167"/>
      <c r="D368" s="167"/>
      <c r="E368" s="167"/>
      <c r="F368" s="168"/>
    </row>
    <row r="369" customHeight="1" spans="1:6">
      <c r="A369" s="158">
        <v>1</v>
      </c>
      <c r="B369" s="159"/>
      <c r="C369" s="160" t="s">
        <v>404</v>
      </c>
      <c r="D369" s="161" t="s">
        <v>405</v>
      </c>
      <c r="E369" s="162"/>
      <c r="F369" s="163"/>
    </row>
    <row r="370" customHeight="1" spans="1:6">
      <c r="A370" s="158">
        <v>2</v>
      </c>
      <c r="B370" s="159"/>
      <c r="C370" s="160" t="s">
        <v>406</v>
      </c>
      <c r="D370" s="161" t="s">
        <v>405</v>
      </c>
      <c r="E370" s="162"/>
      <c r="F370" s="163"/>
    </row>
    <row r="371" customHeight="1" spans="1:6">
      <c r="A371" s="158">
        <v>3</v>
      </c>
      <c r="B371" s="159"/>
      <c r="C371" s="160" t="s">
        <v>407</v>
      </c>
      <c r="D371" s="161" t="s">
        <v>405</v>
      </c>
      <c r="E371" s="162"/>
      <c r="F371" s="163"/>
    </row>
    <row r="372" customHeight="1" spans="1:6">
      <c r="A372" s="158">
        <v>4</v>
      </c>
      <c r="B372" s="159"/>
      <c r="C372" s="160" t="s">
        <v>408</v>
      </c>
      <c r="D372" s="161" t="s">
        <v>405</v>
      </c>
      <c r="E372" s="162"/>
      <c r="F372" s="163"/>
    </row>
    <row r="373" customHeight="1" spans="1:6">
      <c r="A373" s="158">
        <v>5</v>
      </c>
      <c r="B373" s="159"/>
      <c r="C373" s="160" t="s">
        <v>409</v>
      </c>
      <c r="D373" s="161" t="s">
        <v>405</v>
      </c>
      <c r="E373" s="162"/>
      <c r="F373" s="163"/>
    </row>
    <row r="374" customHeight="1" spans="1:6">
      <c r="A374" s="166" t="s">
        <v>410</v>
      </c>
      <c r="B374" s="167"/>
      <c r="C374" s="167"/>
      <c r="D374" s="167"/>
      <c r="E374" s="167"/>
      <c r="F374" s="168"/>
    </row>
    <row r="375" customHeight="1" spans="1:6">
      <c r="A375" s="158">
        <v>1</v>
      </c>
      <c r="B375" s="159"/>
      <c r="C375" s="160" t="s">
        <v>411</v>
      </c>
      <c r="D375" s="161" t="s">
        <v>146</v>
      </c>
      <c r="E375" s="162"/>
      <c r="F375" s="163"/>
    </row>
    <row r="376" customHeight="1" spans="1:6">
      <c r="A376" s="158">
        <v>2</v>
      </c>
      <c r="B376" s="159"/>
      <c r="C376" s="160" t="s">
        <v>412</v>
      </c>
      <c r="D376" s="161" t="s">
        <v>146</v>
      </c>
      <c r="E376" s="162"/>
      <c r="F376" s="163"/>
    </row>
    <row r="377" customHeight="1" spans="1:6">
      <c r="A377" s="158">
        <v>3</v>
      </c>
      <c r="B377" s="159"/>
      <c r="C377" s="160" t="s">
        <v>413</v>
      </c>
      <c r="D377" s="161" t="s">
        <v>146</v>
      </c>
      <c r="E377" s="162"/>
      <c r="F377" s="163"/>
    </row>
    <row r="378" customHeight="1" spans="1:6">
      <c r="A378" s="158">
        <v>4</v>
      </c>
      <c r="B378" s="159"/>
      <c r="C378" s="160" t="s">
        <v>414</v>
      </c>
      <c r="D378" s="161" t="s">
        <v>273</v>
      </c>
      <c r="E378" s="162"/>
      <c r="F378" s="163"/>
    </row>
    <row r="379" customHeight="1" spans="1:6">
      <c r="A379" s="158">
        <v>5</v>
      </c>
      <c r="B379" s="159"/>
      <c r="C379" s="160" t="s">
        <v>415</v>
      </c>
      <c r="D379" s="161" t="s">
        <v>273</v>
      </c>
      <c r="E379" s="162"/>
      <c r="F379" s="163"/>
    </row>
    <row r="380" customHeight="1" spans="1:6">
      <c r="A380" s="158">
        <v>6</v>
      </c>
      <c r="B380" s="159"/>
      <c r="C380" s="160" t="s">
        <v>416</v>
      </c>
      <c r="D380" s="161" t="s">
        <v>273</v>
      </c>
      <c r="E380" s="162"/>
      <c r="F380" s="163"/>
    </row>
    <row r="381" customHeight="1" spans="1:6">
      <c r="A381" s="158">
        <v>7</v>
      </c>
      <c r="B381" s="159"/>
      <c r="C381" s="160" t="s">
        <v>417</v>
      </c>
      <c r="D381" s="161" t="s">
        <v>273</v>
      </c>
      <c r="E381" s="162"/>
      <c r="F381" s="163"/>
    </row>
    <row r="382" customHeight="1" spans="1:6">
      <c r="A382" s="158">
        <v>8</v>
      </c>
      <c r="B382" s="159"/>
      <c r="C382" s="160" t="s">
        <v>418</v>
      </c>
      <c r="D382" s="161" t="s">
        <v>273</v>
      </c>
      <c r="E382" s="162"/>
      <c r="F382" s="163"/>
    </row>
    <row r="383" customHeight="1" spans="1:6">
      <c r="A383" s="158">
        <v>9</v>
      </c>
      <c r="B383" s="159"/>
      <c r="C383" s="160" t="s">
        <v>419</v>
      </c>
      <c r="D383" s="161" t="s">
        <v>273</v>
      </c>
      <c r="E383" s="162"/>
      <c r="F383" s="163"/>
    </row>
    <row r="384" customHeight="1" spans="1:6">
      <c r="A384" s="158">
        <v>10</v>
      </c>
      <c r="B384" s="159"/>
      <c r="C384" s="160" t="s">
        <v>420</v>
      </c>
      <c r="D384" s="161" t="s">
        <v>273</v>
      </c>
      <c r="E384" s="162"/>
      <c r="F384" s="163"/>
    </row>
    <row r="385" customHeight="1" spans="1:6">
      <c r="A385" s="158">
        <v>11</v>
      </c>
      <c r="B385" s="159"/>
      <c r="C385" s="160" t="s">
        <v>421</v>
      </c>
      <c r="D385" s="161" t="s">
        <v>273</v>
      </c>
      <c r="E385" s="162"/>
      <c r="F385" s="163"/>
    </row>
    <row r="386" customHeight="1" spans="1:6">
      <c r="A386" s="158">
        <v>12</v>
      </c>
      <c r="B386" s="159"/>
      <c r="C386" s="160" t="s">
        <v>422</v>
      </c>
      <c r="D386" s="161" t="s">
        <v>273</v>
      </c>
      <c r="E386" s="162"/>
      <c r="F386" s="163"/>
    </row>
    <row r="387" customHeight="1" spans="1:6">
      <c r="A387" s="158">
        <v>13</v>
      </c>
      <c r="B387" s="159"/>
      <c r="C387" s="160" t="s">
        <v>423</v>
      </c>
      <c r="D387" s="161" t="s">
        <v>273</v>
      </c>
      <c r="E387" s="162"/>
      <c r="F387" s="163"/>
    </row>
    <row r="388" customHeight="1" spans="1:6">
      <c r="A388" s="158">
        <v>14</v>
      </c>
      <c r="B388" s="159"/>
      <c r="C388" s="160" t="s">
        <v>424</v>
      </c>
      <c r="D388" s="161" t="s">
        <v>273</v>
      </c>
      <c r="E388" s="162"/>
      <c r="F388" s="163"/>
    </row>
    <row r="389" customHeight="1" spans="1:6">
      <c r="A389" s="158">
        <v>15</v>
      </c>
      <c r="B389" s="159"/>
      <c r="C389" s="160" t="s">
        <v>425</v>
      </c>
      <c r="D389" s="161" t="s">
        <v>273</v>
      </c>
      <c r="E389" s="162"/>
      <c r="F389" s="163"/>
    </row>
    <row r="390" customHeight="1" spans="1:6">
      <c r="A390" s="158">
        <v>16</v>
      </c>
      <c r="B390" s="159"/>
      <c r="C390" s="160" t="s">
        <v>426</v>
      </c>
      <c r="D390" s="161" t="s">
        <v>146</v>
      </c>
      <c r="E390" s="162"/>
      <c r="F390" s="163"/>
    </row>
    <row r="391" customHeight="1" spans="1:6">
      <c r="A391" s="158">
        <v>17</v>
      </c>
      <c r="B391" s="159"/>
      <c r="C391" s="160" t="s">
        <v>427</v>
      </c>
      <c r="D391" s="161" t="s">
        <v>146</v>
      </c>
      <c r="E391" s="162"/>
      <c r="F391" s="163"/>
    </row>
    <row r="392" customHeight="1" spans="1:6">
      <c r="A392" s="158">
        <v>18</v>
      </c>
      <c r="B392" s="159"/>
      <c r="C392" s="160" t="s">
        <v>428</v>
      </c>
      <c r="D392" s="161" t="s">
        <v>146</v>
      </c>
      <c r="E392" s="162"/>
      <c r="F392" s="163"/>
    </row>
    <row r="393" customHeight="1" spans="1:6">
      <c r="A393" s="158">
        <v>19</v>
      </c>
      <c r="B393" s="159"/>
      <c r="C393" s="160" t="s">
        <v>429</v>
      </c>
      <c r="D393" s="161" t="s">
        <v>146</v>
      </c>
      <c r="E393" s="162"/>
      <c r="F393" s="163"/>
    </row>
    <row r="394" customHeight="1" spans="1:6">
      <c r="A394" s="158">
        <v>20</v>
      </c>
      <c r="B394" s="159"/>
      <c r="C394" s="160" t="s">
        <v>430</v>
      </c>
      <c r="D394" s="161" t="s">
        <v>146</v>
      </c>
      <c r="E394" s="162"/>
      <c r="F394" s="163"/>
    </row>
    <row r="395" customHeight="1" spans="1:6">
      <c r="A395" s="158">
        <v>21</v>
      </c>
      <c r="B395" s="159"/>
      <c r="C395" s="160" t="s">
        <v>431</v>
      </c>
      <c r="D395" s="161" t="s">
        <v>432</v>
      </c>
      <c r="E395" s="162"/>
      <c r="F395" s="163"/>
    </row>
    <row r="396" customHeight="1" spans="1:6">
      <c r="A396" s="158">
        <v>22</v>
      </c>
      <c r="B396" s="159"/>
      <c r="C396" s="160" t="s">
        <v>433</v>
      </c>
      <c r="D396" s="161" t="s">
        <v>432</v>
      </c>
      <c r="E396" s="162"/>
      <c r="F396" s="163"/>
    </row>
    <row r="397" customHeight="1" spans="1:6">
      <c r="A397" s="158">
        <v>23</v>
      </c>
      <c r="B397" s="159"/>
      <c r="C397" s="160" t="s">
        <v>434</v>
      </c>
      <c r="D397" s="161" t="s">
        <v>432</v>
      </c>
      <c r="E397" s="162"/>
      <c r="F397" s="163"/>
    </row>
    <row r="398" customHeight="1" spans="1:6">
      <c r="A398" s="158">
        <v>24</v>
      </c>
      <c r="B398" s="159"/>
      <c r="C398" s="160" t="s">
        <v>435</v>
      </c>
      <c r="D398" s="161" t="s">
        <v>432</v>
      </c>
      <c r="E398" s="162"/>
      <c r="F398" s="163"/>
    </row>
    <row r="399" customHeight="1" spans="1:6">
      <c r="A399" s="158">
        <v>25</v>
      </c>
      <c r="B399" s="159"/>
      <c r="C399" s="164" t="s">
        <v>436</v>
      </c>
      <c r="D399" s="161" t="s">
        <v>437</v>
      </c>
      <c r="E399" s="162"/>
      <c r="F399" s="163"/>
    </row>
    <row r="400" customHeight="1" spans="1:6">
      <c r="A400" s="158">
        <v>26</v>
      </c>
      <c r="B400" s="159"/>
      <c r="C400" s="160" t="s">
        <v>438</v>
      </c>
      <c r="D400" s="161" t="s">
        <v>437</v>
      </c>
      <c r="E400" s="162"/>
      <c r="F400" s="163"/>
    </row>
    <row r="401" customHeight="1" spans="1:6">
      <c r="A401" s="166" t="s">
        <v>439</v>
      </c>
      <c r="B401" s="167"/>
      <c r="C401" s="167"/>
      <c r="D401" s="167"/>
      <c r="E401" s="167"/>
      <c r="F401" s="168"/>
    </row>
    <row r="402" customHeight="1" spans="1:6">
      <c r="A402" s="158">
        <v>1</v>
      </c>
      <c r="B402" s="159"/>
      <c r="C402" s="160" t="s">
        <v>440</v>
      </c>
      <c r="D402" s="161" t="s">
        <v>146</v>
      </c>
      <c r="E402" s="162"/>
      <c r="F402" s="163"/>
    </row>
    <row r="403" customHeight="1" spans="1:6">
      <c r="A403" s="158">
        <v>2</v>
      </c>
      <c r="B403" s="159"/>
      <c r="C403" s="160" t="s">
        <v>441</v>
      </c>
      <c r="D403" s="161" t="s">
        <v>146</v>
      </c>
      <c r="E403" s="162"/>
      <c r="F403" s="163"/>
    </row>
    <row r="404" customHeight="1" spans="1:6">
      <c r="A404" s="158">
        <v>3</v>
      </c>
      <c r="B404" s="159"/>
      <c r="C404" s="160" t="s">
        <v>442</v>
      </c>
      <c r="D404" s="161" t="s">
        <v>146</v>
      </c>
      <c r="E404" s="162"/>
      <c r="F404" s="163"/>
    </row>
    <row r="405" customHeight="1" spans="1:6">
      <c r="A405" s="158">
        <v>4</v>
      </c>
      <c r="B405" s="159"/>
      <c r="C405" s="160" t="s">
        <v>443</v>
      </c>
      <c r="D405" s="161" t="s">
        <v>146</v>
      </c>
      <c r="E405" s="162"/>
      <c r="F405" s="163"/>
    </row>
    <row r="406" customHeight="1" spans="1:6">
      <c r="A406" s="158">
        <v>5</v>
      </c>
      <c r="B406" s="159"/>
      <c r="C406" s="160" t="s">
        <v>444</v>
      </c>
      <c r="D406" s="161" t="s">
        <v>146</v>
      </c>
      <c r="E406" s="162"/>
      <c r="F406" s="163"/>
    </row>
    <row r="407" customHeight="1" spans="1:6">
      <c r="A407" s="158">
        <v>6</v>
      </c>
      <c r="B407" s="159"/>
      <c r="C407" s="160" t="s">
        <v>445</v>
      </c>
      <c r="D407" s="161" t="s">
        <v>146</v>
      </c>
      <c r="E407" s="162"/>
      <c r="F407" s="163"/>
    </row>
    <row r="408" customHeight="1" spans="1:6">
      <c r="A408" s="158">
        <v>7</v>
      </c>
      <c r="B408" s="159"/>
      <c r="C408" s="160" t="s">
        <v>446</v>
      </c>
      <c r="D408" s="161" t="s">
        <v>146</v>
      </c>
      <c r="E408" s="162"/>
      <c r="F408" s="163"/>
    </row>
    <row r="409" customHeight="1" spans="1:6">
      <c r="A409" s="158">
        <v>8</v>
      </c>
      <c r="B409" s="159"/>
      <c r="C409" s="160" t="s">
        <v>447</v>
      </c>
      <c r="D409" s="161" t="s">
        <v>146</v>
      </c>
      <c r="E409" s="162"/>
      <c r="F409" s="163"/>
    </row>
    <row r="410" customHeight="1" spans="1:6">
      <c r="A410" s="158">
        <v>9</v>
      </c>
      <c r="B410" s="159"/>
      <c r="C410" s="160" t="s">
        <v>448</v>
      </c>
      <c r="D410" s="161" t="s">
        <v>146</v>
      </c>
      <c r="E410" s="162"/>
      <c r="F410" s="163"/>
    </row>
    <row r="411" customHeight="1" spans="1:6">
      <c r="A411" s="158">
        <v>10</v>
      </c>
      <c r="B411" s="159"/>
      <c r="C411" s="160" t="s">
        <v>449</v>
      </c>
      <c r="D411" s="161" t="s">
        <v>146</v>
      </c>
      <c r="E411" s="162"/>
      <c r="F411" s="163"/>
    </row>
    <row r="412" customHeight="1" spans="1:6">
      <c r="A412" s="158">
        <v>11</v>
      </c>
      <c r="B412" s="159"/>
      <c r="C412" s="160" t="s">
        <v>450</v>
      </c>
      <c r="D412" s="161" t="s">
        <v>146</v>
      </c>
      <c r="E412" s="162"/>
      <c r="F412" s="163"/>
    </row>
    <row r="413" customHeight="1" spans="1:6">
      <c r="A413" s="158">
        <v>12</v>
      </c>
      <c r="B413" s="159"/>
      <c r="C413" s="160" t="s">
        <v>451</v>
      </c>
      <c r="D413" s="161" t="s">
        <v>146</v>
      </c>
      <c r="E413" s="162"/>
      <c r="F413" s="163"/>
    </row>
    <row r="414" customHeight="1" spans="1:6">
      <c r="A414" s="158">
        <v>13</v>
      </c>
      <c r="B414" s="159"/>
      <c r="C414" s="160" t="s">
        <v>452</v>
      </c>
      <c r="D414" s="161" t="s">
        <v>146</v>
      </c>
      <c r="E414" s="162"/>
      <c r="F414" s="163"/>
    </row>
    <row r="415" customHeight="1" spans="1:6">
      <c r="A415" s="158">
        <v>14</v>
      </c>
      <c r="B415" s="159"/>
      <c r="C415" s="160" t="s">
        <v>453</v>
      </c>
      <c r="D415" s="161" t="s">
        <v>146</v>
      </c>
      <c r="E415" s="162"/>
      <c r="F415" s="163"/>
    </row>
    <row r="416" customHeight="1" spans="1:6">
      <c r="A416" s="158">
        <v>15</v>
      </c>
      <c r="B416" s="159"/>
      <c r="C416" s="160" t="s">
        <v>454</v>
      </c>
      <c r="D416" s="161" t="s">
        <v>146</v>
      </c>
      <c r="E416" s="162"/>
      <c r="F416" s="163"/>
    </row>
    <row r="417" customHeight="1" spans="1:6">
      <c r="A417" s="158">
        <v>16</v>
      </c>
      <c r="B417" s="159"/>
      <c r="C417" s="160" t="s">
        <v>455</v>
      </c>
      <c r="D417" s="161" t="s">
        <v>146</v>
      </c>
      <c r="E417" s="162"/>
      <c r="F417" s="163"/>
    </row>
    <row r="418" customHeight="1" spans="1:6">
      <c r="A418" s="166" t="s">
        <v>456</v>
      </c>
      <c r="B418" s="167"/>
      <c r="C418" s="167"/>
      <c r="D418" s="167"/>
      <c r="E418" s="167"/>
      <c r="F418" s="168"/>
    </row>
    <row r="419" customHeight="1" spans="1:6">
      <c r="A419" s="158">
        <v>1</v>
      </c>
      <c r="B419" s="159"/>
      <c r="C419" s="160" t="s">
        <v>457</v>
      </c>
      <c r="D419" s="161" t="s">
        <v>458</v>
      </c>
      <c r="E419" s="162"/>
      <c r="F419" s="163"/>
    </row>
    <row r="420" customHeight="1" spans="1:6">
      <c r="A420" s="158">
        <v>2</v>
      </c>
      <c r="B420" s="159"/>
      <c r="C420" s="160" t="s">
        <v>459</v>
      </c>
      <c r="D420" s="161" t="s">
        <v>458</v>
      </c>
      <c r="E420" s="162"/>
      <c r="F420" s="163"/>
    </row>
    <row r="421" customHeight="1" spans="1:6">
      <c r="A421" s="158">
        <v>3</v>
      </c>
      <c r="B421" s="159"/>
      <c r="C421" s="160" t="s">
        <v>460</v>
      </c>
      <c r="D421" s="161" t="s">
        <v>146</v>
      </c>
      <c r="E421" s="162"/>
      <c r="F421" s="163"/>
    </row>
    <row r="422" customHeight="1" spans="1:6">
      <c r="A422" s="158">
        <v>4</v>
      </c>
      <c r="B422" s="159"/>
      <c r="C422" s="160" t="s">
        <v>461</v>
      </c>
      <c r="D422" s="161" t="s">
        <v>146</v>
      </c>
      <c r="E422" s="162"/>
      <c r="F422" s="163"/>
    </row>
    <row r="423" customHeight="1" spans="1:6">
      <c r="A423" s="158">
        <v>5</v>
      </c>
      <c r="B423" s="159"/>
      <c r="C423" s="160" t="s">
        <v>462</v>
      </c>
      <c r="D423" s="161" t="s">
        <v>146</v>
      </c>
      <c r="E423" s="162"/>
      <c r="F423" s="163"/>
    </row>
    <row r="424" customHeight="1" spans="1:6">
      <c r="A424" s="158">
        <v>6</v>
      </c>
      <c r="B424" s="159"/>
      <c r="C424" s="160" t="s">
        <v>463</v>
      </c>
      <c r="D424" s="161" t="s">
        <v>146</v>
      </c>
      <c r="E424" s="162"/>
      <c r="F424" s="163"/>
    </row>
    <row r="425" customHeight="1" spans="1:6">
      <c r="A425" s="173" t="s">
        <v>464</v>
      </c>
      <c r="B425" s="174"/>
      <c r="C425" s="174"/>
      <c r="D425" s="174"/>
      <c r="E425" s="174"/>
      <c r="F425" s="175"/>
    </row>
    <row r="426" customHeight="1" spans="1:6">
      <c r="A426" s="158">
        <v>1</v>
      </c>
      <c r="B426" s="159"/>
      <c r="C426" s="160" t="s">
        <v>465</v>
      </c>
      <c r="D426" s="161" t="s">
        <v>146</v>
      </c>
      <c r="E426" s="162"/>
      <c r="F426" s="163"/>
    </row>
    <row r="427" customHeight="1" spans="1:6">
      <c r="A427" s="158">
        <v>2</v>
      </c>
      <c r="B427" s="159"/>
      <c r="C427" s="160" t="s">
        <v>466</v>
      </c>
      <c r="D427" s="161" t="s">
        <v>146</v>
      </c>
      <c r="E427" s="162"/>
      <c r="F427" s="163"/>
    </row>
    <row r="428" customHeight="1" spans="1:6">
      <c r="A428" s="158">
        <v>3</v>
      </c>
      <c r="B428" s="159"/>
      <c r="C428" s="160" t="s">
        <v>467</v>
      </c>
      <c r="D428" s="161" t="s">
        <v>146</v>
      </c>
      <c r="E428" s="162"/>
      <c r="F428" s="163"/>
    </row>
    <row r="429" customHeight="1" spans="1:6">
      <c r="A429" s="158">
        <v>4</v>
      </c>
      <c r="B429" s="159"/>
      <c r="C429" s="160" t="s">
        <v>468</v>
      </c>
      <c r="D429" s="161" t="s">
        <v>146</v>
      </c>
      <c r="E429" s="162"/>
      <c r="F429" s="163"/>
    </row>
    <row r="430" customHeight="1" spans="1:6">
      <c r="A430" s="158">
        <v>5</v>
      </c>
      <c r="B430" s="159"/>
      <c r="C430" s="160" t="s">
        <v>469</v>
      </c>
      <c r="D430" s="161" t="s">
        <v>146</v>
      </c>
      <c r="E430" s="162"/>
      <c r="F430" s="163"/>
    </row>
    <row r="431" customHeight="1" spans="1:6">
      <c r="A431" s="158">
        <v>6</v>
      </c>
      <c r="B431" s="159"/>
      <c r="C431" s="160" t="s">
        <v>470</v>
      </c>
      <c r="D431" s="161" t="s">
        <v>471</v>
      </c>
      <c r="E431" s="162"/>
      <c r="F431" s="163"/>
    </row>
    <row r="432" customHeight="1" spans="1:6">
      <c r="A432" s="158">
        <v>7</v>
      </c>
      <c r="B432" s="159"/>
      <c r="C432" s="160" t="s">
        <v>472</v>
      </c>
      <c r="D432" s="161" t="s">
        <v>473</v>
      </c>
      <c r="E432" s="162"/>
      <c r="F432" s="163"/>
    </row>
    <row r="433" customHeight="1" spans="1:6">
      <c r="A433" s="158">
        <v>8</v>
      </c>
      <c r="B433" s="159"/>
      <c r="C433" s="160" t="s">
        <v>474</v>
      </c>
      <c r="D433" s="161" t="s">
        <v>432</v>
      </c>
      <c r="E433" s="162"/>
      <c r="F433" s="163"/>
    </row>
    <row r="434" customHeight="1" spans="1:6">
      <c r="A434" s="158">
        <v>9</v>
      </c>
      <c r="B434" s="159"/>
      <c r="C434" s="160" t="s">
        <v>475</v>
      </c>
      <c r="D434" s="161" t="s">
        <v>432</v>
      </c>
      <c r="E434" s="162"/>
      <c r="F434" s="163"/>
    </row>
    <row r="435" customHeight="1" spans="1:6">
      <c r="A435" s="158">
        <v>10</v>
      </c>
      <c r="B435" s="159"/>
      <c r="C435" s="160" t="s">
        <v>476</v>
      </c>
      <c r="D435" s="161" t="s">
        <v>59</v>
      </c>
      <c r="E435" s="162"/>
      <c r="F435" s="163"/>
    </row>
    <row r="436" customHeight="1" spans="1:6">
      <c r="A436" s="158">
        <v>11</v>
      </c>
      <c r="B436" s="159"/>
      <c r="C436" s="160" t="s">
        <v>477</v>
      </c>
      <c r="D436" s="161" t="s">
        <v>59</v>
      </c>
      <c r="E436" s="162"/>
      <c r="F436" s="163"/>
    </row>
    <row r="437" customHeight="1" spans="1:6">
      <c r="A437" s="158">
        <v>12</v>
      </c>
      <c r="B437" s="159"/>
      <c r="C437" s="160" t="s">
        <v>478</v>
      </c>
      <c r="D437" s="161" t="s">
        <v>59</v>
      </c>
      <c r="E437" s="162"/>
      <c r="F437" s="163"/>
    </row>
    <row r="438" customHeight="1" spans="1:6">
      <c r="A438" s="158">
        <v>13</v>
      </c>
      <c r="B438" s="159"/>
      <c r="C438" s="160" t="s">
        <v>479</v>
      </c>
      <c r="D438" s="161" t="s">
        <v>59</v>
      </c>
      <c r="E438" s="162"/>
      <c r="F438" s="163"/>
    </row>
    <row r="439" customHeight="1" spans="1:6">
      <c r="A439" s="158">
        <v>14</v>
      </c>
      <c r="B439" s="159"/>
      <c r="C439" s="160" t="s">
        <v>480</v>
      </c>
      <c r="D439" s="161" t="s">
        <v>59</v>
      </c>
      <c r="E439" s="162"/>
      <c r="F439" s="163"/>
    </row>
    <row r="440" customHeight="1" spans="1:6">
      <c r="A440" s="158">
        <v>15</v>
      </c>
      <c r="B440" s="159"/>
      <c r="C440" s="160" t="s">
        <v>481</v>
      </c>
      <c r="D440" s="161" t="s">
        <v>482</v>
      </c>
      <c r="E440" s="162"/>
      <c r="F440" s="163"/>
    </row>
    <row r="441" customHeight="1" spans="1:6">
      <c r="A441" s="158">
        <v>16</v>
      </c>
      <c r="B441" s="159"/>
      <c r="C441" s="160" t="s">
        <v>483</v>
      </c>
      <c r="D441" s="161" t="s">
        <v>482</v>
      </c>
      <c r="E441" s="162"/>
      <c r="F441" s="163"/>
    </row>
    <row r="442" customHeight="1" spans="1:6">
      <c r="A442" s="158">
        <v>17</v>
      </c>
      <c r="B442" s="159"/>
      <c r="C442" s="160" t="s">
        <v>484</v>
      </c>
      <c r="D442" s="161" t="s">
        <v>482</v>
      </c>
      <c r="E442" s="162"/>
      <c r="F442" s="163"/>
    </row>
    <row r="443" customHeight="1" spans="1:6">
      <c r="A443" s="158">
        <v>18</v>
      </c>
      <c r="B443" s="159"/>
      <c r="C443" s="160" t="s">
        <v>485</v>
      </c>
      <c r="D443" s="161" t="s">
        <v>482</v>
      </c>
      <c r="E443" s="162"/>
      <c r="F443" s="163"/>
    </row>
    <row r="444" customHeight="1" spans="1:6">
      <c r="A444" s="158">
        <v>19</v>
      </c>
      <c r="B444" s="159"/>
      <c r="C444" s="160" t="s">
        <v>486</v>
      </c>
      <c r="D444" s="161" t="s">
        <v>482</v>
      </c>
      <c r="E444" s="162"/>
      <c r="F444" s="163"/>
    </row>
    <row r="445" customHeight="1" spans="1:6">
      <c r="A445" s="158">
        <v>20</v>
      </c>
      <c r="B445" s="159"/>
      <c r="C445" s="160" t="s">
        <v>487</v>
      </c>
      <c r="D445" s="161" t="s">
        <v>482</v>
      </c>
      <c r="E445" s="162"/>
      <c r="F445" s="163"/>
    </row>
    <row r="446" customHeight="1" spans="1:6">
      <c r="A446" s="158">
        <v>21</v>
      </c>
      <c r="B446" s="159"/>
      <c r="C446" s="160" t="s">
        <v>488</v>
      </c>
      <c r="D446" s="161" t="s">
        <v>482</v>
      </c>
      <c r="E446" s="162"/>
      <c r="F446" s="163"/>
    </row>
    <row r="447" customHeight="1" spans="1:6">
      <c r="A447" s="158">
        <v>22</v>
      </c>
      <c r="B447" s="159"/>
      <c r="C447" s="160" t="s">
        <v>489</v>
      </c>
      <c r="D447" s="161" t="s">
        <v>482</v>
      </c>
      <c r="E447" s="162"/>
      <c r="F447" s="163"/>
    </row>
    <row r="448" customHeight="1" spans="1:6">
      <c r="A448" s="158">
        <v>23</v>
      </c>
      <c r="B448" s="159"/>
      <c r="C448" s="160" t="s">
        <v>484</v>
      </c>
      <c r="D448" s="161" t="s">
        <v>482</v>
      </c>
      <c r="E448" s="162"/>
      <c r="F448" s="163"/>
    </row>
    <row r="449" customHeight="1" spans="1:6">
      <c r="A449" s="158">
        <v>24</v>
      </c>
      <c r="B449" s="159"/>
      <c r="C449" s="160" t="s">
        <v>490</v>
      </c>
      <c r="D449" s="161" t="s">
        <v>482</v>
      </c>
      <c r="E449" s="162"/>
      <c r="F449" s="163"/>
    </row>
    <row r="450" customHeight="1" spans="1:6">
      <c r="A450" s="158">
        <v>25</v>
      </c>
      <c r="B450" s="159"/>
      <c r="C450" s="160" t="s">
        <v>491</v>
      </c>
      <c r="D450" s="161" t="s">
        <v>146</v>
      </c>
      <c r="E450" s="162"/>
      <c r="F450" s="163"/>
    </row>
    <row r="451" customHeight="1" spans="1:6">
      <c r="A451" s="158">
        <v>26</v>
      </c>
      <c r="B451" s="159"/>
      <c r="C451" s="160" t="s">
        <v>492</v>
      </c>
      <c r="D451" s="161" t="s">
        <v>146</v>
      </c>
      <c r="E451" s="162"/>
      <c r="F451" s="163"/>
    </row>
    <row r="452" customHeight="1" spans="1:6">
      <c r="A452" s="158">
        <v>27</v>
      </c>
      <c r="B452" s="159"/>
      <c r="C452" s="164" t="s">
        <v>493</v>
      </c>
      <c r="D452" s="186" t="s">
        <v>294</v>
      </c>
      <c r="E452" s="162"/>
      <c r="F452" s="163"/>
    </row>
    <row r="453" customHeight="1" spans="1:6">
      <c r="A453" s="158">
        <v>28</v>
      </c>
      <c r="B453" s="159"/>
      <c r="C453" s="160" t="s">
        <v>494</v>
      </c>
      <c r="D453" s="186" t="s">
        <v>294</v>
      </c>
      <c r="E453" s="162"/>
      <c r="F453" s="163"/>
    </row>
    <row r="454" customHeight="1" spans="1:6">
      <c r="A454" s="158">
        <v>29</v>
      </c>
      <c r="B454" s="159"/>
      <c r="C454" s="160" t="s">
        <v>495</v>
      </c>
      <c r="D454" s="186" t="s">
        <v>294</v>
      </c>
      <c r="E454" s="162"/>
      <c r="F454" s="163"/>
    </row>
    <row r="455" customHeight="1" spans="1:6">
      <c r="A455" s="158">
        <v>30</v>
      </c>
      <c r="B455" s="159"/>
      <c r="C455" s="160" t="s">
        <v>496</v>
      </c>
      <c r="D455" s="161" t="s">
        <v>146</v>
      </c>
      <c r="E455" s="162"/>
      <c r="F455" s="163"/>
    </row>
    <row r="456" customHeight="1" spans="1:6">
      <c r="A456" s="158">
        <v>31</v>
      </c>
      <c r="B456" s="159"/>
      <c r="C456" s="160" t="s">
        <v>497</v>
      </c>
      <c r="D456" s="161" t="s">
        <v>146</v>
      </c>
      <c r="E456" s="162"/>
      <c r="F456" s="163"/>
    </row>
    <row r="457" customHeight="1" spans="1:6">
      <c r="A457" s="158">
        <v>32</v>
      </c>
      <c r="B457" s="159"/>
      <c r="C457" s="160" t="s">
        <v>498</v>
      </c>
      <c r="D457" s="161" t="s">
        <v>146</v>
      </c>
      <c r="E457" s="162"/>
      <c r="F457" s="163"/>
    </row>
    <row r="458" customHeight="1" spans="1:6">
      <c r="A458" s="158">
        <v>33</v>
      </c>
      <c r="B458" s="159"/>
      <c r="C458" s="160" t="s">
        <v>499</v>
      </c>
      <c r="D458" s="161" t="s">
        <v>146</v>
      </c>
      <c r="E458" s="162"/>
      <c r="F458" s="163"/>
    </row>
    <row r="459" customHeight="1" spans="1:6">
      <c r="A459" s="158">
        <v>34</v>
      </c>
      <c r="B459" s="159"/>
      <c r="C459" s="160" t="s">
        <v>500</v>
      </c>
      <c r="D459" s="161" t="s">
        <v>146</v>
      </c>
      <c r="E459" s="162"/>
      <c r="F459" s="163"/>
    </row>
    <row r="460" customHeight="1" spans="1:6">
      <c r="A460" s="173" t="s">
        <v>501</v>
      </c>
      <c r="B460" s="174"/>
      <c r="C460" s="174"/>
      <c r="D460" s="174"/>
      <c r="E460" s="174"/>
      <c r="F460" s="175"/>
    </row>
    <row r="461" customHeight="1" spans="1:6">
      <c r="A461" s="158">
        <v>1</v>
      </c>
      <c r="B461" s="159"/>
      <c r="C461" s="188" t="s">
        <v>502</v>
      </c>
      <c r="D461" s="189" t="s">
        <v>273</v>
      </c>
      <c r="E461" s="162"/>
      <c r="F461" s="163"/>
    </row>
    <row r="462" customHeight="1" spans="1:6">
      <c r="A462" s="158">
        <v>2</v>
      </c>
      <c r="B462" s="159"/>
      <c r="C462" s="188" t="s">
        <v>503</v>
      </c>
      <c r="D462" s="189" t="s">
        <v>273</v>
      </c>
      <c r="E462" s="162"/>
      <c r="F462" s="163"/>
    </row>
    <row r="463" customHeight="1" spans="1:6">
      <c r="A463" s="158">
        <v>3</v>
      </c>
      <c r="B463" s="159"/>
      <c r="C463" s="188" t="s">
        <v>504</v>
      </c>
      <c r="D463" s="189" t="s">
        <v>273</v>
      </c>
      <c r="E463" s="162"/>
      <c r="F463" s="163"/>
    </row>
    <row r="464" customHeight="1" spans="1:6">
      <c r="A464" s="158">
        <v>4</v>
      </c>
      <c r="B464" s="159"/>
      <c r="C464" s="188" t="s">
        <v>505</v>
      </c>
      <c r="D464" s="189" t="s">
        <v>273</v>
      </c>
      <c r="E464" s="162"/>
      <c r="F464" s="163"/>
    </row>
    <row r="465" customHeight="1" spans="1:6">
      <c r="A465" s="158">
        <v>5</v>
      </c>
      <c r="B465" s="159"/>
      <c r="C465" s="188" t="s">
        <v>506</v>
      </c>
      <c r="D465" s="189" t="s">
        <v>273</v>
      </c>
      <c r="E465" s="162"/>
      <c r="F465" s="163"/>
    </row>
    <row r="466" customHeight="1" spans="1:6">
      <c r="A466" s="158">
        <v>6</v>
      </c>
      <c r="B466" s="159"/>
      <c r="C466" s="188" t="s">
        <v>507</v>
      </c>
      <c r="D466" s="189" t="s">
        <v>273</v>
      </c>
      <c r="E466" s="162"/>
      <c r="F466" s="163"/>
    </row>
    <row r="467" customHeight="1" spans="1:6">
      <c r="A467" s="158">
        <v>7</v>
      </c>
      <c r="B467" s="159"/>
      <c r="C467" s="188" t="s">
        <v>508</v>
      </c>
      <c r="D467" s="189" t="s">
        <v>273</v>
      </c>
      <c r="E467" s="162"/>
      <c r="F467" s="163"/>
    </row>
    <row r="468" customHeight="1" spans="1:6">
      <c r="A468" s="158">
        <v>8</v>
      </c>
      <c r="B468" s="159"/>
      <c r="C468" s="188" t="s">
        <v>509</v>
      </c>
      <c r="D468" s="189" t="s">
        <v>273</v>
      </c>
      <c r="E468" s="162"/>
      <c r="F468" s="163"/>
    </row>
    <row r="469" customHeight="1" spans="1:6">
      <c r="A469" s="158">
        <v>9</v>
      </c>
      <c r="B469" s="159"/>
      <c r="C469" s="188" t="s">
        <v>510</v>
      </c>
      <c r="D469" s="189" t="s">
        <v>273</v>
      </c>
      <c r="E469" s="162"/>
      <c r="F469" s="163"/>
    </row>
    <row r="470" customHeight="1" spans="1:6">
      <c r="A470" s="158">
        <v>10</v>
      </c>
      <c r="B470" s="159"/>
      <c r="C470" s="188" t="s">
        <v>511</v>
      </c>
      <c r="D470" s="189" t="s">
        <v>273</v>
      </c>
      <c r="E470" s="162"/>
      <c r="F470" s="163"/>
    </row>
    <row r="471" customHeight="1" spans="1:6">
      <c r="A471" s="158">
        <v>11</v>
      </c>
      <c r="B471" s="159"/>
      <c r="C471" s="188" t="s">
        <v>512</v>
      </c>
      <c r="D471" s="189" t="s">
        <v>273</v>
      </c>
      <c r="E471" s="162"/>
      <c r="F471" s="163"/>
    </row>
    <row r="472" customHeight="1" spans="1:6">
      <c r="A472" s="158">
        <v>12</v>
      </c>
      <c r="B472" s="159"/>
      <c r="C472" s="188" t="s">
        <v>513</v>
      </c>
      <c r="D472" s="189" t="s">
        <v>273</v>
      </c>
      <c r="E472" s="162"/>
      <c r="F472" s="163"/>
    </row>
    <row r="473" customHeight="1" spans="1:6">
      <c r="A473" s="158">
        <v>13</v>
      </c>
      <c r="B473" s="159"/>
      <c r="C473" s="188" t="s">
        <v>514</v>
      </c>
      <c r="D473" s="189" t="s">
        <v>273</v>
      </c>
      <c r="E473" s="162"/>
      <c r="F473" s="163"/>
    </row>
    <row r="474" customHeight="1" spans="1:6">
      <c r="A474" s="158">
        <v>14</v>
      </c>
      <c r="B474" s="159"/>
      <c r="C474" s="188" t="s">
        <v>515</v>
      </c>
      <c r="D474" s="189" t="s">
        <v>273</v>
      </c>
      <c r="E474" s="162"/>
      <c r="F474" s="163"/>
    </row>
    <row r="475" customHeight="1" spans="1:6">
      <c r="A475" s="158">
        <v>15</v>
      </c>
      <c r="B475" s="159"/>
      <c r="C475" s="188" t="s">
        <v>516</v>
      </c>
      <c r="D475" s="189" t="s">
        <v>273</v>
      </c>
      <c r="E475" s="162"/>
      <c r="F475" s="163"/>
    </row>
    <row r="476" customHeight="1" spans="1:6">
      <c r="A476" s="158">
        <v>16</v>
      </c>
      <c r="B476" s="159"/>
      <c r="C476" s="188" t="s">
        <v>517</v>
      </c>
      <c r="D476" s="189" t="s">
        <v>273</v>
      </c>
      <c r="E476" s="162"/>
      <c r="F476" s="163"/>
    </row>
    <row r="477" customHeight="1" spans="1:6">
      <c r="A477" s="190" t="s">
        <v>518</v>
      </c>
      <c r="B477" s="191"/>
      <c r="C477" s="191"/>
      <c r="D477" s="191"/>
      <c r="E477" s="191"/>
      <c r="F477" s="192"/>
    </row>
    <row r="478" customHeight="1" spans="1:6">
      <c r="A478" s="158">
        <v>1</v>
      </c>
      <c r="B478" s="159"/>
      <c r="C478" s="160" t="s">
        <v>519</v>
      </c>
      <c r="D478" s="161" t="s">
        <v>520</v>
      </c>
      <c r="E478" s="162"/>
      <c r="F478" s="163"/>
    </row>
    <row r="479" customHeight="1" spans="1:6">
      <c r="A479" s="158">
        <v>2</v>
      </c>
      <c r="B479" s="159"/>
      <c r="C479" s="160" t="s">
        <v>521</v>
      </c>
      <c r="D479" s="161" t="s">
        <v>520</v>
      </c>
      <c r="E479" s="162"/>
      <c r="F479" s="163"/>
    </row>
    <row r="480" customHeight="1" spans="1:6">
      <c r="A480" s="158">
        <v>3</v>
      </c>
      <c r="B480" s="159"/>
      <c r="C480" s="160" t="s">
        <v>522</v>
      </c>
      <c r="D480" s="161" t="s">
        <v>432</v>
      </c>
      <c r="E480" s="162"/>
      <c r="F480" s="163"/>
    </row>
    <row r="481" customHeight="1" spans="1:6">
      <c r="A481" s="158">
        <v>4</v>
      </c>
      <c r="B481" s="159"/>
      <c r="C481" s="160" t="s">
        <v>523</v>
      </c>
      <c r="D481" s="161" t="s">
        <v>524</v>
      </c>
      <c r="E481" s="162"/>
      <c r="F481" s="163"/>
    </row>
    <row r="482" customHeight="1" spans="1:6">
      <c r="A482" s="158">
        <v>5</v>
      </c>
      <c r="B482" s="159"/>
      <c r="C482" s="160" t="s">
        <v>525</v>
      </c>
      <c r="D482" s="161" t="s">
        <v>524</v>
      </c>
      <c r="E482" s="162"/>
      <c r="F482" s="163"/>
    </row>
    <row r="483" customHeight="1" spans="1:6">
      <c r="A483" s="158">
        <v>6</v>
      </c>
      <c r="B483" s="159"/>
      <c r="C483" s="160" t="s">
        <v>526</v>
      </c>
      <c r="D483" s="161" t="s">
        <v>524</v>
      </c>
      <c r="E483" s="162"/>
      <c r="F483" s="163"/>
    </row>
    <row r="484" customHeight="1" spans="1:6">
      <c r="A484" s="158">
        <v>7</v>
      </c>
      <c r="B484" s="159"/>
      <c r="C484" s="160" t="s">
        <v>527</v>
      </c>
      <c r="D484" s="161" t="s">
        <v>528</v>
      </c>
      <c r="E484" s="162"/>
      <c r="F484" s="163"/>
    </row>
    <row r="485" customHeight="1" spans="1:6">
      <c r="A485" s="158">
        <v>8</v>
      </c>
      <c r="B485" s="159"/>
      <c r="C485" s="160" t="s">
        <v>529</v>
      </c>
      <c r="D485" s="161" t="s">
        <v>528</v>
      </c>
      <c r="E485" s="162"/>
      <c r="F485" s="163"/>
    </row>
    <row r="486" customHeight="1" spans="1:6">
      <c r="A486" s="158">
        <v>9</v>
      </c>
      <c r="B486" s="159"/>
      <c r="C486" s="160" t="s">
        <v>530</v>
      </c>
      <c r="D486" s="161" t="s">
        <v>528</v>
      </c>
      <c r="E486" s="162"/>
      <c r="F486" s="163"/>
    </row>
    <row r="487" customHeight="1" spans="1:6">
      <c r="A487" s="158">
        <v>10</v>
      </c>
      <c r="B487" s="159"/>
      <c r="C487" s="160" t="s">
        <v>531</v>
      </c>
      <c r="D487" s="161" t="s">
        <v>528</v>
      </c>
      <c r="E487" s="162"/>
      <c r="F487" s="163"/>
    </row>
    <row r="488" customHeight="1" spans="1:6">
      <c r="A488" s="158">
        <v>11</v>
      </c>
      <c r="B488" s="159"/>
      <c r="C488" s="160" t="s">
        <v>532</v>
      </c>
      <c r="D488" s="161" t="s">
        <v>528</v>
      </c>
      <c r="E488" s="162"/>
      <c r="F488" s="163"/>
    </row>
    <row r="489" customHeight="1" spans="1:6">
      <c r="A489" s="158">
        <v>12</v>
      </c>
      <c r="B489" s="159"/>
      <c r="C489" s="160" t="s">
        <v>533</v>
      </c>
      <c r="D489" s="161" t="s">
        <v>528</v>
      </c>
      <c r="E489" s="162"/>
      <c r="F489" s="163"/>
    </row>
    <row r="490" customHeight="1" spans="1:6">
      <c r="A490" s="158">
        <v>13</v>
      </c>
      <c r="B490" s="159"/>
      <c r="C490" s="160" t="s">
        <v>534</v>
      </c>
      <c r="D490" s="161" t="s">
        <v>528</v>
      </c>
      <c r="E490" s="162"/>
      <c r="F490" s="163"/>
    </row>
    <row r="491" customHeight="1" spans="1:6">
      <c r="A491" s="158">
        <v>14</v>
      </c>
      <c r="B491" s="159"/>
      <c r="C491" s="160" t="s">
        <v>535</v>
      </c>
      <c r="D491" s="161" t="s">
        <v>528</v>
      </c>
      <c r="E491" s="162"/>
      <c r="F491" s="163"/>
    </row>
    <row r="492" customHeight="1" spans="1:6">
      <c r="A492" s="158">
        <v>15</v>
      </c>
      <c r="B492" s="159"/>
      <c r="C492" s="160" t="s">
        <v>536</v>
      </c>
      <c r="D492" s="161" t="s">
        <v>528</v>
      </c>
      <c r="E492" s="162"/>
      <c r="F492" s="163"/>
    </row>
    <row r="493" customHeight="1" spans="1:6">
      <c r="A493" s="158">
        <v>16</v>
      </c>
      <c r="B493" s="159"/>
      <c r="C493" s="164" t="s">
        <v>537</v>
      </c>
      <c r="D493" s="161" t="s">
        <v>75</v>
      </c>
      <c r="E493" s="162"/>
      <c r="F493" s="163"/>
    </row>
    <row r="494" customHeight="1" spans="1:6">
      <c r="A494" s="166" t="s">
        <v>538</v>
      </c>
      <c r="B494" s="167"/>
      <c r="C494" s="167"/>
      <c r="D494" s="167"/>
      <c r="E494" s="167"/>
      <c r="F494" s="168"/>
    </row>
    <row r="495" customHeight="1" spans="1:6">
      <c r="A495" s="158">
        <v>1</v>
      </c>
      <c r="B495" s="159"/>
      <c r="C495" s="160" t="s">
        <v>539</v>
      </c>
      <c r="D495" s="161" t="s">
        <v>540</v>
      </c>
      <c r="E495" s="162"/>
      <c r="F495" s="163"/>
    </row>
    <row r="496" customHeight="1" spans="1:6">
      <c r="A496" s="158">
        <v>2</v>
      </c>
      <c r="B496" s="159"/>
      <c r="C496" s="160" t="s">
        <v>541</v>
      </c>
      <c r="D496" s="161" t="s">
        <v>437</v>
      </c>
      <c r="E496" s="162"/>
      <c r="F496" s="163"/>
    </row>
    <row r="497" customHeight="1" spans="1:6">
      <c r="A497" s="158">
        <v>3</v>
      </c>
      <c r="B497" s="159"/>
      <c r="C497" s="160" t="s">
        <v>542</v>
      </c>
      <c r="D497" s="161" t="s">
        <v>437</v>
      </c>
      <c r="E497" s="162"/>
      <c r="F497" s="163"/>
    </row>
    <row r="498" customHeight="1" spans="1:6">
      <c r="A498" s="158">
        <v>4</v>
      </c>
      <c r="B498" s="159"/>
      <c r="C498" s="160" t="s">
        <v>543</v>
      </c>
      <c r="D498" s="161" t="s">
        <v>437</v>
      </c>
      <c r="E498" s="162"/>
      <c r="F498" s="163"/>
    </row>
    <row r="499" customHeight="1" spans="1:6">
      <c r="A499" s="158">
        <v>5</v>
      </c>
      <c r="B499" s="159"/>
      <c r="C499" s="160" t="s">
        <v>544</v>
      </c>
      <c r="D499" s="161" t="s">
        <v>540</v>
      </c>
      <c r="E499" s="162"/>
      <c r="F499" s="163"/>
    </row>
    <row r="500" customHeight="1" spans="1:6">
      <c r="A500" s="158">
        <v>6</v>
      </c>
      <c r="B500" s="159"/>
      <c r="C500" s="160" t="s">
        <v>545</v>
      </c>
      <c r="D500" s="161" t="s">
        <v>540</v>
      </c>
      <c r="E500" s="162"/>
      <c r="F500" s="163"/>
    </row>
    <row r="501" customHeight="1" spans="1:6">
      <c r="A501" s="158">
        <v>7</v>
      </c>
      <c r="B501" s="159"/>
      <c r="C501" s="160" t="s">
        <v>546</v>
      </c>
      <c r="D501" s="161" t="s">
        <v>540</v>
      </c>
      <c r="E501" s="162"/>
      <c r="F501" s="163"/>
    </row>
    <row r="502" customHeight="1" spans="1:6">
      <c r="A502" s="158">
        <v>8</v>
      </c>
      <c r="B502" s="159"/>
      <c r="C502" s="160" t="s">
        <v>547</v>
      </c>
      <c r="D502" s="160" t="s">
        <v>548</v>
      </c>
      <c r="E502" s="162"/>
      <c r="F502" s="163"/>
    </row>
    <row r="503" customHeight="1" spans="1:6">
      <c r="A503" s="158">
        <v>9</v>
      </c>
      <c r="B503" s="159"/>
      <c r="C503" s="160" t="s">
        <v>549</v>
      </c>
      <c r="D503" s="161" t="s">
        <v>540</v>
      </c>
      <c r="E503" s="162"/>
      <c r="F503" s="163"/>
    </row>
    <row r="504" customHeight="1" spans="1:6">
      <c r="A504" s="158">
        <v>10</v>
      </c>
      <c r="B504" s="159"/>
      <c r="C504" s="160" t="s">
        <v>550</v>
      </c>
      <c r="D504" s="161" t="s">
        <v>540</v>
      </c>
      <c r="E504" s="162"/>
      <c r="F504" s="163"/>
    </row>
    <row r="505" customHeight="1" spans="1:6">
      <c r="A505" s="158">
        <v>11</v>
      </c>
      <c r="B505" s="159"/>
      <c r="C505" s="160" t="s">
        <v>551</v>
      </c>
      <c r="D505" s="161" t="s">
        <v>540</v>
      </c>
      <c r="E505" s="162"/>
      <c r="F505" s="163"/>
    </row>
    <row r="506" customHeight="1" spans="1:6">
      <c r="A506" s="158">
        <v>12</v>
      </c>
      <c r="B506" s="159"/>
      <c r="C506" s="160" t="s">
        <v>552</v>
      </c>
      <c r="D506" s="161" t="s">
        <v>405</v>
      </c>
      <c r="E506" s="162"/>
      <c r="F506" s="163"/>
    </row>
    <row r="507" customHeight="1" spans="1:6">
      <c r="A507" s="158">
        <v>13</v>
      </c>
      <c r="B507" s="159"/>
      <c r="C507" s="160" t="s">
        <v>553</v>
      </c>
      <c r="D507" s="161" t="s">
        <v>405</v>
      </c>
      <c r="E507" s="162"/>
      <c r="F507" s="163"/>
    </row>
    <row r="508" customHeight="1" spans="1:6">
      <c r="A508" s="158">
        <v>14</v>
      </c>
      <c r="B508" s="159"/>
      <c r="C508" s="160" t="s">
        <v>554</v>
      </c>
      <c r="D508" s="161" t="s">
        <v>405</v>
      </c>
      <c r="E508" s="162"/>
      <c r="F508" s="163"/>
    </row>
    <row r="509" customHeight="1" spans="1:6">
      <c r="A509" s="158">
        <v>15</v>
      </c>
      <c r="B509" s="159"/>
      <c r="C509" s="160" t="s">
        <v>555</v>
      </c>
      <c r="D509" s="161" t="s">
        <v>405</v>
      </c>
      <c r="E509" s="162"/>
      <c r="F509" s="163"/>
    </row>
    <row r="510" customHeight="1" spans="1:6">
      <c r="A510" s="158">
        <v>16</v>
      </c>
      <c r="B510" s="159"/>
      <c r="C510" s="160" t="s">
        <v>556</v>
      </c>
      <c r="D510" s="161" t="s">
        <v>557</v>
      </c>
      <c r="E510" s="162"/>
      <c r="F510" s="163"/>
    </row>
    <row r="511" customHeight="1" spans="1:6">
      <c r="A511" s="158">
        <v>17</v>
      </c>
      <c r="B511" s="159"/>
      <c r="C511" s="160" t="s">
        <v>558</v>
      </c>
      <c r="D511" s="161" t="s">
        <v>559</v>
      </c>
      <c r="E511" s="162"/>
      <c r="F511" s="163"/>
    </row>
    <row r="512" customHeight="1" spans="1:6">
      <c r="A512" s="193" t="s">
        <v>560</v>
      </c>
      <c r="B512" s="194"/>
      <c r="C512" s="194"/>
      <c r="D512" s="194"/>
      <c r="E512" s="194"/>
      <c r="F512" s="195"/>
    </row>
    <row r="513" ht="24.6" customHeight="1" spans="1:6">
      <c r="A513" s="158">
        <v>1</v>
      </c>
      <c r="B513" s="159"/>
      <c r="C513" s="164" t="s">
        <v>561</v>
      </c>
      <c r="D513" s="161" t="s">
        <v>273</v>
      </c>
      <c r="E513" s="162"/>
      <c r="F513" s="163"/>
    </row>
    <row r="514" customHeight="1" spans="1:6">
      <c r="A514" s="158">
        <v>2</v>
      </c>
      <c r="B514" s="159"/>
      <c r="C514" s="164" t="s">
        <v>562</v>
      </c>
      <c r="D514" s="161" t="s">
        <v>273</v>
      </c>
      <c r="E514" s="162"/>
      <c r="F514" s="163"/>
    </row>
    <row r="515" customHeight="1" spans="1:6">
      <c r="A515" s="158">
        <v>3</v>
      </c>
      <c r="B515" s="159"/>
      <c r="C515" s="164" t="s">
        <v>563</v>
      </c>
      <c r="D515" s="161" t="s">
        <v>273</v>
      </c>
      <c r="E515" s="162"/>
      <c r="F515" s="163"/>
    </row>
    <row r="516" customHeight="1" spans="1:6">
      <c r="A516" s="158">
        <v>4</v>
      </c>
      <c r="B516" s="159"/>
      <c r="C516" s="164" t="s">
        <v>564</v>
      </c>
      <c r="D516" s="161" t="s">
        <v>273</v>
      </c>
      <c r="E516" s="162"/>
      <c r="F516" s="163"/>
    </row>
    <row r="517" customHeight="1" spans="1:6">
      <c r="A517" s="158">
        <v>5</v>
      </c>
      <c r="B517" s="159"/>
      <c r="C517" s="164" t="s">
        <v>565</v>
      </c>
      <c r="D517" s="161" t="s">
        <v>273</v>
      </c>
      <c r="E517" s="162"/>
      <c r="F517" s="163"/>
    </row>
    <row r="518" customHeight="1" spans="1:6">
      <c r="A518" s="158">
        <v>6</v>
      </c>
      <c r="B518" s="159"/>
      <c r="C518" s="164" t="s">
        <v>566</v>
      </c>
      <c r="D518" s="161" t="s">
        <v>273</v>
      </c>
      <c r="E518" s="162"/>
      <c r="F518" s="163"/>
    </row>
    <row r="519" customHeight="1" spans="1:6">
      <c r="A519" s="158">
        <v>7</v>
      </c>
      <c r="B519" s="159"/>
      <c r="C519" s="164" t="s">
        <v>567</v>
      </c>
      <c r="D519" s="161" t="s">
        <v>273</v>
      </c>
      <c r="E519" s="162"/>
      <c r="F519" s="163"/>
    </row>
    <row r="520" customHeight="1" spans="1:6">
      <c r="A520" s="166" t="s">
        <v>568</v>
      </c>
      <c r="B520" s="167"/>
      <c r="C520" s="167"/>
      <c r="D520" s="167"/>
      <c r="E520" s="167"/>
      <c r="F520" s="168"/>
    </row>
    <row r="521" customHeight="1" spans="1:6">
      <c r="A521" s="158">
        <v>1</v>
      </c>
      <c r="B521" s="159"/>
      <c r="C521" s="160" t="s">
        <v>569</v>
      </c>
      <c r="D521" s="161" t="s">
        <v>146</v>
      </c>
      <c r="E521" s="162"/>
      <c r="F521" s="163"/>
    </row>
    <row r="522" customHeight="1" spans="1:6">
      <c r="A522" s="158">
        <v>2</v>
      </c>
      <c r="B522" s="159"/>
      <c r="C522" s="160" t="s">
        <v>570</v>
      </c>
      <c r="D522" s="161" t="s">
        <v>146</v>
      </c>
      <c r="E522" s="162"/>
      <c r="F522" s="163"/>
    </row>
    <row r="523" customHeight="1" spans="1:6">
      <c r="A523" s="158">
        <v>3</v>
      </c>
      <c r="B523" s="159"/>
      <c r="C523" s="160" t="s">
        <v>571</v>
      </c>
      <c r="D523" s="161" t="s">
        <v>146</v>
      </c>
      <c r="E523" s="162"/>
      <c r="F523" s="163"/>
    </row>
    <row r="524" customHeight="1" spans="1:6">
      <c r="A524" s="158">
        <v>4</v>
      </c>
      <c r="B524" s="159"/>
      <c r="C524" s="160" t="s">
        <v>572</v>
      </c>
      <c r="D524" s="161" t="s">
        <v>154</v>
      </c>
      <c r="E524" s="162"/>
      <c r="F524" s="163"/>
    </row>
    <row r="525" customHeight="1" spans="1:6">
      <c r="A525" s="158">
        <v>5</v>
      </c>
      <c r="B525" s="159"/>
      <c r="C525" s="160" t="s">
        <v>573</v>
      </c>
      <c r="D525" s="161" t="s">
        <v>154</v>
      </c>
      <c r="E525" s="162"/>
      <c r="F525" s="163"/>
    </row>
    <row r="526" customHeight="1" spans="1:6">
      <c r="A526" s="158">
        <v>6</v>
      </c>
      <c r="B526" s="159"/>
      <c r="C526" s="160" t="s">
        <v>574</v>
      </c>
      <c r="D526" s="161" t="s">
        <v>154</v>
      </c>
      <c r="E526" s="162"/>
      <c r="F526" s="163"/>
    </row>
    <row r="527" customHeight="1" spans="1:6">
      <c r="A527" s="158">
        <v>7</v>
      </c>
      <c r="B527" s="159"/>
      <c r="C527" s="160" t="s">
        <v>575</v>
      </c>
      <c r="D527" s="161" t="s">
        <v>576</v>
      </c>
      <c r="E527" s="162"/>
      <c r="F527" s="163"/>
    </row>
    <row r="528" customHeight="1" spans="1:6">
      <c r="A528" s="158">
        <v>8</v>
      </c>
      <c r="B528" s="159"/>
      <c r="C528" s="160" t="s">
        <v>577</v>
      </c>
      <c r="D528" s="161" t="s">
        <v>146</v>
      </c>
      <c r="E528" s="162"/>
      <c r="F528" s="163"/>
    </row>
    <row r="529" customHeight="1" spans="1:6">
      <c r="A529" s="158">
        <v>9</v>
      </c>
      <c r="B529" s="159"/>
      <c r="C529" s="160" t="s">
        <v>578</v>
      </c>
      <c r="D529" s="161" t="s">
        <v>146</v>
      </c>
      <c r="E529" s="162"/>
      <c r="F529" s="163"/>
    </row>
    <row r="530" customHeight="1" spans="1:6">
      <c r="A530" s="158">
        <v>10</v>
      </c>
      <c r="B530" s="159"/>
      <c r="C530" s="160" t="s">
        <v>579</v>
      </c>
      <c r="D530" s="161" t="s">
        <v>146</v>
      </c>
      <c r="E530" s="162"/>
      <c r="F530" s="163"/>
    </row>
    <row r="531" customHeight="1" spans="1:6">
      <c r="A531" s="158">
        <v>11</v>
      </c>
      <c r="B531" s="159"/>
      <c r="C531" s="160" t="s">
        <v>580</v>
      </c>
      <c r="D531" s="161" t="s">
        <v>146</v>
      </c>
      <c r="E531" s="162"/>
      <c r="F531" s="163"/>
    </row>
    <row r="532" customHeight="1" spans="1:6">
      <c r="A532" s="158">
        <v>12</v>
      </c>
      <c r="B532" s="159"/>
      <c r="C532" s="160" t="s">
        <v>581</v>
      </c>
      <c r="D532" s="161" t="s">
        <v>146</v>
      </c>
      <c r="E532" s="162"/>
      <c r="F532" s="163"/>
    </row>
    <row r="533" customHeight="1" spans="1:6">
      <c r="A533" s="158">
        <v>13</v>
      </c>
      <c r="B533" s="159"/>
      <c r="C533" s="160" t="s">
        <v>582</v>
      </c>
      <c r="D533" s="161" t="s">
        <v>146</v>
      </c>
      <c r="E533" s="162"/>
      <c r="F533" s="163"/>
    </row>
    <row r="534" customHeight="1" spans="1:6">
      <c r="A534" s="158">
        <v>14</v>
      </c>
      <c r="B534" s="159"/>
      <c r="C534" s="160" t="s">
        <v>583</v>
      </c>
      <c r="D534" s="161" t="s">
        <v>146</v>
      </c>
      <c r="E534" s="162"/>
      <c r="F534" s="163"/>
    </row>
    <row r="535" customHeight="1" spans="1:6">
      <c r="A535" s="158">
        <v>15</v>
      </c>
      <c r="B535" s="159"/>
      <c r="C535" s="160" t="s">
        <v>584</v>
      </c>
      <c r="D535" s="161" t="s">
        <v>146</v>
      </c>
      <c r="E535" s="162"/>
      <c r="F535" s="163"/>
    </row>
    <row r="536" customHeight="1" spans="1:6">
      <c r="A536" s="166" t="s">
        <v>585</v>
      </c>
      <c r="B536" s="167"/>
      <c r="C536" s="167"/>
      <c r="D536" s="167"/>
      <c r="E536" s="167"/>
      <c r="F536" s="168"/>
    </row>
    <row r="537" customHeight="1" spans="1:6">
      <c r="A537" s="158">
        <v>1</v>
      </c>
      <c r="B537" s="159"/>
      <c r="C537" s="160" t="s">
        <v>586</v>
      </c>
      <c r="D537" s="161" t="s">
        <v>154</v>
      </c>
      <c r="E537" s="162"/>
      <c r="F537" s="163"/>
    </row>
    <row r="538" customHeight="1" spans="1:6">
      <c r="A538" s="158">
        <v>2</v>
      </c>
      <c r="B538" s="159"/>
      <c r="C538" s="160" t="s">
        <v>587</v>
      </c>
      <c r="D538" s="161" t="s">
        <v>154</v>
      </c>
      <c r="E538" s="162"/>
      <c r="F538" s="163"/>
    </row>
    <row r="539" customHeight="1" spans="1:6">
      <c r="A539" s="158">
        <v>3</v>
      </c>
      <c r="B539" s="159"/>
      <c r="C539" s="160" t="s">
        <v>588</v>
      </c>
      <c r="D539" s="161" t="s">
        <v>154</v>
      </c>
      <c r="E539" s="162"/>
      <c r="F539" s="163"/>
    </row>
    <row r="540" customHeight="1" spans="1:6">
      <c r="A540" s="158">
        <v>4</v>
      </c>
      <c r="B540" s="159"/>
      <c r="C540" s="160" t="s">
        <v>589</v>
      </c>
      <c r="D540" s="161" t="s">
        <v>154</v>
      </c>
      <c r="E540" s="162"/>
      <c r="F540" s="163"/>
    </row>
    <row r="541" customHeight="1" spans="1:6">
      <c r="A541" s="158">
        <v>5</v>
      </c>
      <c r="B541" s="159"/>
      <c r="C541" s="160" t="s">
        <v>590</v>
      </c>
      <c r="D541" s="161" t="s">
        <v>154</v>
      </c>
      <c r="E541" s="162"/>
      <c r="F541" s="163"/>
    </row>
    <row r="542" customHeight="1" spans="1:6">
      <c r="A542" s="158">
        <v>6</v>
      </c>
      <c r="B542" s="159"/>
      <c r="C542" s="160" t="s">
        <v>591</v>
      </c>
      <c r="D542" s="161" t="s">
        <v>154</v>
      </c>
      <c r="E542" s="162"/>
      <c r="F542" s="163"/>
    </row>
    <row r="543" customHeight="1" spans="1:6">
      <c r="A543" s="166" t="s">
        <v>592</v>
      </c>
      <c r="B543" s="167"/>
      <c r="C543" s="167"/>
      <c r="D543" s="167"/>
      <c r="E543" s="167"/>
      <c r="F543" s="168"/>
    </row>
    <row r="544" customHeight="1" spans="1:6">
      <c r="A544" s="158">
        <v>1</v>
      </c>
      <c r="B544" s="159"/>
      <c r="C544" s="160" t="s">
        <v>593</v>
      </c>
      <c r="D544" s="161" t="s">
        <v>154</v>
      </c>
      <c r="E544" s="162"/>
      <c r="F544" s="163"/>
    </row>
    <row r="545" customHeight="1" spans="1:6">
      <c r="A545" s="158">
        <v>2</v>
      </c>
      <c r="B545" s="159"/>
      <c r="C545" s="164" t="s">
        <v>594</v>
      </c>
      <c r="D545" s="161" t="s">
        <v>482</v>
      </c>
      <c r="E545" s="162"/>
      <c r="F545" s="163"/>
    </row>
    <row r="546" customHeight="1" spans="1:6">
      <c r="A546" s="158">
        <v>3</v>
      </c>
      <c r="B546" s="159"/>
      <c r="C546" s="164" t="s">
        <v>595</v>
      </c>
      <c r="D546" s="161" t="s">
        <v>482</v>
      </c>
      <c r="E546" s="162"/>
      <c r="F546" s="163"/>
    </row>
    <row r="547" customHeight="1" spans="1:6">
      <c r="A547" s="158">
        <v>4</v>
      </c>
      <c r="B547" s="159"/>
      <c r="C547" s="160" t="s">
        <v>596</v>
      </c>
      <c r="D547" s="161" t="s">
        <v>482</v>
      </c>
      <c r="E547" s="162"/>
      <c r="F547" s="163"/>
    </row>
    <row r="548" customHeight="1" spans="1:6">
      <c r="A548" s="158">
        <v>5</v>
      </c>
      <c r="B548" s="159"/>
      <c r="C548" s="160" t="s">
        <v>597</v>
      </c>
      <c r="D548" s="161" t="s">
        <v>432</v>
      </c>
      <c r="E548" s="162"/>
      <c r="F548" s="163"/>
    </row>
    <row r="549" customHeight="1" spans="1:6">
      <c r="A549" s="158">
        <v>6</v>
      </c>
      <c r="B549" s="159"/>
      <c r="C549" s="160" t="s">
        <v>598</v>
      </c>
      <c r="D549" s="161" t="s">
        <v>154</v>
      </c>
      <c r="E549" s="162"/>
      <c r="F549" s="163"/>
    </row>
    <row r="550" customHeight="1" spans="1:6">
      <c r="A550" s="158">
        <v>7</v>
      </c>
      <c r="B550" s="159"/>
      <c r="C550" s="160" t="s">
        <v>599</v>
      </c>
      <c r="D550" s="161" t="s">
        <v>154</v>
      </c>
      <c r="E550" s="162"/>
      <c r="F550" s="163"/>
    </row>
    <row r="551" customHeight="1" spans="1:6">
      <c r="A551" s="158">
        <v>8</v>
      </c>
      <c r="B551" s="159"/>
      <c r="C551" s="160" t="s">
        <v>600</v>
      </c>
      <c r="D551" s="161" t="s">
        <v>154</v>
      </c>
      <c r="E551" s="162"/>
      <c r="F551" s="163"/>
    </row>
    <row r="552" customHeight="1" spans="1:6">
      <c r="A552" s="158">
        <v>9</v>
      </c>
      <c r="B552" s="159"/>
      <c r="C552" s="160" t="s">
        <v>601</v>
      </c>
      <c r="D552" s="161" t="s">
        <v>154</v>
      </c>
      <c r="E552" s="162"/>
      <c r="F552" s="163"/>
    </row>
    <row r="553" customHeight="1" spans="1:6">
      <c r="A553" s="158">
        <v>10</v>
      </c>
      <c r="B553" s="159"/>
      <c r="C553" s="160" t="s">
        <v>602</v>
      </c>
      <c r="D553" s="161" t="s">
        <v>154</v>
      </c>
      <c r="E553" s="162"/>
      <c r="F553" s="163"/>
    </row>
    <row r="554" customHeight="1" spans="1:6">
      <c r="A554" s="158">
        <v>11</v>
      </c>
      <c r="B554" s="159"/>
      <c r="C554" s="160" t="s">
        <v>603</v>
      </c>
      <c r="D554" s="161" t="s">
        <v>154</v>
      </c>
      <c r="E554" s="162"/>
      <c r="F554" s="163"/>
    </row>
    <row r="555" customHeight="1" spans="1:6">
      <c r="A555" s="158">
        <v>12</v>
      </c>
      <c r="B555" s="159"/>
      <c r="C555" s="160" t="s">
        <v>604</v>
      </c>
      <c r="D555" s="161" t="s">
        <v>154</v>
      </c>
      <c r="E555" s="162"/>
      <c r="F555" s="163"/>
    </row>
    <row r="556" customHeight="1" spans="1:6">
      <c r="A556" s="158">
        <v>13</v>
      </c>
      <c r="B556" s="159"/>
      <c r="C556" s="160" t="s">
        <v>605</v>
      </c>
      <c r="D556" s="161" t="s">
        <v>154</v>
      </c>
      <c r="E556" s="162"/>
      <c r="F556" s="163"/>
    </row>
    <row r="557" customHeight="1" spans="1:6">
      <c r="A557" s="158">
        <v>14</v>
      </c>
      <c r="B557" s="159"/>
      <c r="C557" s="160" t="s">
        <v>606</v>
      </c>
      <c r="D557" s="161" t="s">
        <v>154</v>
      </c>
      <c r="E557" s="162"/>
      <c r="F557" s="163"/>
    </row>
    <row r="558" customHeight="1" spans="1:6">
      <c r="A558" s="158">
        <v>15</v>
      </c>
      <c r="B558" s="159"/>
      <c r="C558" s="160" t="s">
        <v>607</v>
      </c>
      <c r="D558" s="161" t="s">
        <v>154</v>
      </c>
      <c r="E558" s="162"/>
      <c r="F558" s="163"/>
    </row>
    <row r="559" customHeight="1" spans="1:6">
      <c r="A559" s="158">
        <v>16</v>
      </c>
      <c r="B559" s="159"/>
      <c r="C559" s="160" t="s">
        <v>608</v>
      </c>
      <c r="D559" s="161" t="s">
        <v>154</v>
      </c>
      <c r="E559" s="162"/>
      <c r="F559" s="163"/>
    </row>
    <row r="560" customHeight="1" spans="1:6">
      <c r="A560" s="158">
        <v>17</v>
      </c>
      <c r="B560" s="159"/>
      <c r="C560" s="160" t="s">
        <v>609</v>
      </c>
      <c r="D560" s="161" t="s">
        <v>154</v>
      </c>
      <c r="E560" s="162"/>
      <c r="F560" s="163"/>
    </row>
    <row r="561" customHeight="1" spans="1:6">
      <c r="A561" s="158">
        <v>18</v>
      </c>
      <c r="B561" s="159"/>
      <c r="C561" s="160" t="s">
        <v>610</v>
      </c>
      <c r="D561" s="161" t="s">
        <v>154</v>
      </c>
      <c r="E561" s="162"/>
      <c r="F561" s="163"/>
    </row>
    <row r="562" customHeight="1" spans="1:6">
      <c r="A562" s="158">
        <v>19</v>
      </c>
      <c r="B562" s="159"/>
      <c r="C562" s="160" t="s">
        <v>611</v>
      </c>
      <c r="D562" s="161" t="s">
        <v>154</v>
      </c>
      <c r="E562" s="162"/>
      <c r="F562" s="163"/>
    </row>
    <row r="563" customHeight="1" spans="1:6">
      <c r="A563" s="158">
        <v>20</v>
      </c>
      <c r="B563" s="159"/>
      <c r="C563" s="160" t="s">
        <v>612</v>
      </c>
      <c r="D563" s="161" t="s">
        <v>154</v>
      </c>
      <c r="E563" s="162"/>
      <c r="F563" s="163"/>
    </row>
  </sheetData>
  <mergeCells count="26">
    <mergeCell ref="A1:F1"/>
    <mergeCell ref="A3:F3"/>
    <mergeCell ref="A50:F50"/>
    <mergeCell ref="A63:F63"/>
    <mergeCell ref="A87:F87"/>
    <mergeCell ref="A105:F105"/>
    <mergeCell ref="A114:F114"/>
    <mergeCell ref="A117:F117"/>
    <mergeCell ref="A143:F143"/>
    <mergeCell ref="A174:F174"/>
    <mergeCell ref="A228:F228"/>
    <mergeCell ref="A268:F268"/>
    <mergeCell ref="A285:F285"/>
    <mergeCell ref="A338:F338"/>
    <mergeCell ref="A368:F368"/>
    <mergeCell ref="A374:F374"/>
    <mergeCell ref="A401:F401"/>
    <mergeCell ref="A418:F418"/>
    <mergeCell ref="A425:F425"/>
    <mergeCell ref="A460:F460"/>
    <mergeCell ref="A477:F477"/>
    <mergeCell ref="A494:F494"/>
    <mergeCell ref="A512:F512"/>
    <mergeCell ref="A520:F520"/>
    <mergeCell ref="A536:F536"/>
    <mergeCell ref="A543:F543"/>
  </mergeCells>
  <pageMargins left="0.7" right="0.7" top="0.75" bottom="0.75" header="0.3" footer="0.3"/>
  <pageSetup paperSize="1" scale="6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9"/>
  <sheetViews>
    <sheetView tabSelected="1" zoomScaleSheetLayoutView="85" topLeftCell="A25" workbookViewId="0">
      <selection activeCell="L46" sqref="L46"/>
    </sheetView>
  </sheetViews>
  <sheetFormatPr defaultColWidth="8.88571428571429" defaultRowHeight="18.75"/>
  <cols>
    <col min="1" max="1" width="2.42857142857143" style="57" customWidth="1"/>
    <col min="2" max="2" width="5.28571428571429" style="86" customWidth="1"/>
    <col min="3" max="3" width="15.4285714285714" style="87" customWidth="1"/>
    <col min="4" max="4" width="47.7809523809524" style="88" customWidth="1"/>
    <col min="5" max="5" width="8.88571428571429" style="89" customWidth="1"/>
    <col min="6" max="6" width="9" style="90" customWidth="1"/>
    <col min="7" max="7" width="13.1047619047619" style="91" customWidth="1"/>
    <col min="8" max="8" width="16.4380952380952" style="91" customWidth="1"/>
    <col min="9" max="9" width="28.2190476190476" style="57" customWidth="1"/>
    <col min="10" max="10" width="14.552380952381" style="57" customWidth="1"/>
    <col min="11" max="11" width="15.3333333333333" style="92" customWidth="1"/>
    <col min="12" max="12" width="15.3333333333333" style="57" customWidth="1"/>
    <col min="13" max="13" width="12.8857142857143" style="57" customWidth="1"/>
    <col min="14" max="15" width="12.552380952381" style="57" customWidth="1"/>
    <col min="16" max="36" width="8.88571428571429" style="57"/>
    <col min="37" max="16384" width="8.88571428571429" style="41"/>
  </cols>
  <sheetData>
    <row r="1" ht="25.8" customHeight="1" spans="1:36">
      <c r="B1" s="93" t="s">
        <v>613</v>
      </c>
      <c r="C1" s="93"/>
      <c r="D1" s="93"/>
      <c r="E1" s="93"/>
      <c r="F1" s="93"/>
      <c r="G1" s="93"/>
      <c r="H1" s="93"/>
    </row>
    <row r="2" ht="17.4" customHeight="1" spans="1:36">
      <c r="B2" s="52"/>
      <c r="C2" s="94"/>
      <c r="D2" s="94" t="s">
        <v>614</v>
      </c>
      <c r="E2" s="94"/>
      <c r="F2" s="94"/>
      <c r="G2" s="94"/>
      <c r="H2" s="94"/>
    </row>
    <row r="3" ht="17.4" customHeight="1" spans="1:36">
      <c r="B3" s="52"/>
      <c r="C3" s="94"/>
      <c r="D3" s="94" t="s">
        <v>615</v>
      </c>
      <c r="E3" s="94"/>
      <c r="F3" s="94"/>
      <c r="G3" s="94"/>
      <c r="H3" s="94"/>
    </row>
    <row r="4" ht="17.4" customHeight="1" spans="1:36">
      <c r="B4" s="52"/>
      <c r="C4" s="94"/>
      <c r="D4" s="94" t="s">
        <v>616</v>
      </c>
      <c r="E4" s="94"/>
      <c r="F4" s="94"/>
      <c r="G4" s="94"/>
      <c r="H4" s="94"/>
    </row>
    <row r="5" ht="21.6" customHeight="1" spans="1:36">
      <c r="A5" s="41"/>
      <c r="B5" s="95" t="s">
        <v>617</v>
      </c>
      <c r="C5" s="95"/>
      <c r="D5" s="95"/>
      <c r="E5" s="95"/>
      <c r="F5" s="95"/>
      <c r="G5" s="95"/>
      <c r="H5" s="95"/>
    </row>
    <row r="6" ht="21.6" customHeight="1" spans="1:36">
      <c r="A6" s="41"/>
      <c r="B6" s="142" t="s">
        <v>618</v>
      </c>
      <c r="C6" s="142"/>
      <c r="D6" s="142"/>
      <c r="E6" s="142"/>
      <c r="F6" s="142"/>
      <c r="G6" s="142"/>
      <c r="H6" s="142"/>
    </row>
    <row r="7" s="42" customFormat="1" ht="20.4" customHeight="1" spans="1:36">
      <c r="A7" s="59"/>
      <c r="B7" s="97" t="s">
        <v>619</v>
      </c>
      <c r="C7" s="97"/>
      <c r="D7" s="97"/>
      <c r="E7" s="97"/>
      <c r="F7" s="97"/>
      <c r="G7" s="97"/>
      <c r="H7" s="97"/>
      <c r="I7" s="59"/>
      <c r="J7" s="59"/>
      <c r="K7" s="98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</row>
    <row r="8" s="42" customFormat="1" ht="22.2" customHeight="1" spans="1:36">
      <c r="A8" s="59"/>
      <c r="B8" s="66" t="s">
        <v>620</v>
      </c>
      <c r="C8" s="66"/>
      <c r="D8" s="99" t="s">
        <v>621</v>
      </c>
      <c r="E8" s="99"/>
      <c r="F8" s="99"/>
      <c r="G8" s="99"/>
      <c r="H8" s="99"/>
      <c r="I8" s="59"/>
      <c r="J8" s="59"/>
      <c r="K8" s="98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</row>
    <row r="9" s="42" customFormat="1" ht="18" customHeight="1" spans="1:36">
      <c r="A9" s="59"/>
      <c r="B9" s="66" t="s">
        <v>622</v>
      </c>
      <c r="C9" s="66"/>
      <c r="D9" s="66"/>
      <c r="E9" s="66"/>
      <c r="F9" s="66"/>
      <c r="G9" s="66"/>
      <c r="H9" s="66"/>
      <c r="I9" s="59"/>
      <c r="J9" s="59"/>
      <c r="K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</row>
    <row r="10" s="42" customFormat="1" ht="18" customHeight="1" spans="1:36">
      <c r="A10" s="59"/>
      <c r="B10" s="66" t="s">
        <v>623</v>
      </c>
      <c r="C10" s="66"/>
      <c r="D10" s="66"/>
      <c r="E10" s="66"/>
      <c r="F10" s="66"/>
      <c r="G10" s="66"/>
      <c r="H10" s="66"/>
      <c r="I10" s="59"/>
      <c r="J10" s="59"/>
      <c r="K10" s="98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</row>
    <row r="11" s="42" customFormat="1" ht="18" customHeight="1" spans="1:36">
      <c r="A11" s="59"/>
      <c r="B11" s="66" t="s">
        <v>624</v>
      </c>
      <c r="C11" s="66"/>
      <c r="D11" s="66"/>
      <c r="E11" s="66"/>
      <c r="F11" s="66"/>
      <c r="G11" s="66"/>
      <c r="H11" s="66"/>
      <c r="I11" s="59"/>
      <c r="J11" s="59"/>
      <c r="K11" s="98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</row>
    <row r="12" s="42" customFormat="1" ht="22.2" customHeight="1" spans="1:36">
      <c r="A12" s="59"/>
      <c r="B12" s="100" t="s">
        <v>625</v>
      </c>
      <c r="C12" s="100"/>
      <c r="D12" s="100"/>
      <c r="E12" s="100"/>
      <c r="F12" s="100"/>
      <c r="G12" s="100"/>
      <c r="H12" s="100"/>
      <c r="I12" s="59"/>
      <c r="J12" s="59"/>
      <c r="K12" s="98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</row>
    <row r="13" s="42" customFormat="1" ht="10.8" customHeight="1" spans="1:36">
      <c r="A13" s="59"/>
      <c r="B13" s="100"/>
      <c r="C13" s="100"/>
      <c r="D13" s="100"/>
      <c r="E13" s="100"/>
      <c r="F13" s="100"/>
      <c r="G13" s="101" t="s">
        <v>626</v>
      </c>
      <c r="H13" s="101"/>
      <c r="I13" s="59"/>
      <c r="J13" s="59"/>
      <c r="K13" s="98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</row>
    <row r="14" s="85" customFormat="1" ht="40.2" customHeight="1" spans="1:36">
      <c r="A14" s="102"/>
      <c r="B14" s="69" t="s">
        <v>627</v>
      </c>
      <c r="C14" s="69" t="s">
        <v>628</v>
      </c>
      <c r="D14" s="70" t="s">
        <v>629</v>
      </c>
      <c r="E14" s="71" t="s">
        <v>4</v>
      </c>
      <c r="F14" s="72" t="s">
        <v>630</v>
      </c>
      <c r="G14" s="71" t="s">
        <v>5</v>
      </c>
      <c r="H14" s="70" t="s">
        <v>631</v>
      </c>
      <c r="I14" s="102"/>
      <c r="J14" s="102"/>
      <c r="K14" s="103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</row>
    <row r="15" ht="18" customHeight="1" spans="1:36">
      <c r="B15" s="104">
        <v>1</v>
      </c>
      <c r="C15" s="104" t="s">
        <v>8</v>
      </c>
      <c r="D15" s="105" t="str">
        <f>IFERROR(VLOOKUP(C15,'Bảng sản phẩm'!$B$4:$D$981,2,0),0)</f>
        <v>Giấy  Double A A4 ĐL70</v>
      </c>
      <c r="E15" s="105" t="str">
        <f>IFERROR(VLOOKUP(C15,'Bảng sản phẩm'!$B$4:$G$981,3,0),0)</f>
        <v>Ream</v>
      </c>
      <c r="F15" s="106">
        <v>1</v>
      </c>
      <c r="G15" s="107">
        <f>IFERROR(VLOOKUP(C15,'Bảng sản phẩm'!$B$4:$G$981,4,0),0)</f>
        <v>531100</v>
      </c>
      <c r="H15" s="108">
        <f>+F15*G15</f>
        <v>531100</v>
      </c>
    </row>
    <row r="16" ht="18" customHeight="1" spans="1:36">
      <c r="B16" s="104">
        <v>2</v>
      </c>
      <c r="C16" s="104" t="s">
        <v>11</v>
      </c>
      <c r="D16" s="105" t="str">
        <f>IFERROR(VLOOKUP(C16,'Bảng sản phẩm'!$B$4:$D$981,2,0),0)</f>
        <v>Giấy IK Plus  A4 ĐL70</v>
      </c>
      <c r="E16" s="105" t="str">
        <f>IFERROR(VLOOKUP(C16,'Bảng sản phẩm'!$B$4:$G$981,3,0),0)</f>
        <v>Ream</v>
      </c>
      <c r="F16" s="109">
        <v>5</v>
      </c>
      <c r="G16" s="107">
        <f>IFERROR(VLOOKUP(C16,'Bảng sản phẩm'!$B$4:$G$981,4,0),0)</f>
        <v>5564</v>
      </c>
      <c r="H16" s="108">
        <f t="shared" ref="H16:H36" si="0">+F16*G16</f>
        <v>27820</v>
      </c>
    </row>
    <row r="17" ht="18" customHeight="1" spans="2:8">
      <c r="B17" s="104">
        <v>3</v>
      </c>
      <c r="C17" s="104" t="s">
        <v>13</v>
      </c>
      <c r="D17" s="105" t="str">
        <f>IFERROR(VLOOKUP(C17,'Bảng sản phẩm'!$B$4:$D$981,2,0),0)</f>
        <v>Giấy  Paper One A4 ĐL 70</v>
      </c>
      <c r="E17" s="105" t="str">
        <f>IFERROR(VLOOKUP(C17,'Bảng sản phẩm'!$B$4:$G$981,3,0),0)</f>
        <v>Ream</v>
      </c>
      <c r="F17" s="109">
        <v>5</v>
      </c>
      <c r="G17" s="107">
        <f>IFERROR(VLOOKUP(C17,'Bảng sản phẩm'!$B$4:$G$981,4,0),0)</f>
        <v>5564</v>
      </c>
      <c r="H17" s="108">
        <f t="shared" si="0"/>
        <v>27820</v>
      </c>
    </row>
    <row r="18" ht="18" customHeight="1" spans="2:8">
      <c r="B18" s="104">
        <v>4</v>
      </c>
      <c r="C18" s="104" t="s">
        <v>15</v>
      </c>
      <c r="D18" s="105" t="str">
        <f>IFERROR(VLOOKUP(C18,'Bảng sản phẩm'!$B$4:$D$981,2,0),0)</f>
        <v>Giấy A4 Acura ĐL 70gsm</v>
      </c>
      <c r="E18" s="105" t="str">
        <f>IFERROR(VLOOKUP(C18,'Bảng sản phẩm'!$B$4:$G$981,3,0),0)</f>
        <v>Ream</v>
      </c>
      <c r="F18" s="109">
        <v>5</v>
      </c>
      <c r="G18" s="107">
        <f>IFERROR(VLOOKUP(C18,'Bảng sản phẩm'!$B$4:$G$981,4,0),0)</f>
        <v>5564</v>
      </c>
      <c r="H18" s="108">
        <f t="shared" si="0"/>
        <v>27820</v>
      </c>
    </row>
    <row r="19" ht="18" customHeight="1" spans="2:8">
      <c r="B19" s="104">
        <v>5</v>
      </c>
      <c r="C19" s="104" t="s">
        <v>17</v>
      </c>
      <c r="D19" s="105" t="str">
        <f>IFERROR(VLOOKUP(C19,'Bảng sản phẩm'!$B$4:$D$981,2,0),0)</f>
        <v>Giấy A4 Acura Plus ĐL 70gsm</v>
      </c>
      <c r="E19" s="105" t="str">
        <f>IFERROR(VLOOKUP(C19,'Bảng sản phẩm'!$B$4:$G$981,3,0),0)</f>
        <v>Ream</v>
      </c>
      <c r="F19" s="109">
        <v>5</v>
      </c>
      <c r="G19" s="107">
        <f>IFERROR(VLOOKUP(C19,'Bảng sản phẩm'!$B$4:$G$981,4,0),0)</f>
        <v>5564</v>
      </c>
      <c r="H19" s="108">
        <f t="shared" si="0"/>
        <v>27820</v>
      </c>
    </row>
    <row r="20" ht="18" customHeight="1" spans="2:8">
      <c r="B20" s="104">
        <v>6</v>
      </c>
      <c r="C20" s="104" t="s">
        <v>19</v>
      </c>
      <c r="D20" s="105" t="str">
        <f>IFERROR(VLOOKUP(C20,'Bảng sản phẩm'!$B$4:$D$981,2,0),0)</f>
        <v>Giấy A4 Qualiti A4 80/90gms</v>
      </c>
      <c r="E20" s="105" t="str">
        <f>IFERROR(VLOOKUP(C20,'Bảng sản phẩm'!$B$4:$G$981,3,0),0)</f>
        <v>Ream</v>
      </c>
      <c r="F20" s="109">
        <v>5</v>
      </c>
      <c r="G20" s="107">
        <f>IFERROR(VLOOKUP(C20,'Bảng sản phẩm'!$B$4:$G$981,4,0),0)</f>
        <v>5564</v>
      </c>
      <c r="H20" s="108">
        <f t="shared" si="0"/>
        <v>27820</v>
      </c>
    </row>
    <row r="21" ht="18" customHeight="1" spans="2:8">
      <c r="B21" s="104">
        <v>7</v>
      </c>
      <c r="C21" s="104" t="s">
        <v>21</v>
      </c>
      <c r="D21" s="105" t="str">
        <f>IFERROR(VLOOKUP(C21,'Bảng sản phẩm'!$B$4:$D$981,2,0),0)</f>
        <v>Giấy A4 IK Copy 65/90</v>
      </c>
      <c r="E21" s="105" t="str">
        <f>IFERROR(VLOOKUP(C21,'Bảng sản phẩm'!$B$4:$G$981,3,0),0)</f>
        <v>Ream</v>
      </c>
      <c r="F21" s="109">
        <v>5</v>
      </c>
      <c r="G21" s="107">
        <f>IFERROR(VLOOKUP(C21,'Bảng sản phẩm'!$B$4:$G$981,4,0),0)</f>
        <v>5564</v>
      </c>
      <c r="H21" s="108">
        <f t="shared" si="0"/>
        <v>27820</v>
      </c>
    </row>
    <row r="22" ht="18" customHeight="1" spans="2:8">
      <c r="B22" s="104">
        <v>8</v>
      </c>
      <c r="C22" s="104" t="s">
        <v>23</v>
      </c>
      <c r="D22" s="105" t="str">
        <f>IFERROR(VLOOKUP(C22,'Bảng sản phẩm'!$B$4:$D$981,2,0),0)</f>
        <v>Giấy A4 Copy One A4 80gsm</v>
      </c>
      <c r="E22" s="105" t="str">
        <f>IFERROR(VLOOKUP(C22,'Bảng sản phẩm'!$B$4:$G$981,3,0),0)</f>
        <v>Ream</v>
      </c>
      <c r="F22" s="109">
        <v>5</v>
      </c>
      <c r="G22" s="107">
        <f>IFERROR(VLOOKUP(C22,'Bảng sản phẩm'!$B$4:$G$981,4,0),0)</f>
        <v>5564</v>
      </c>
      <c r="H22" s="108">
        <f t="shared" si="0"/>
        <v>27820</v>
      </c>
    </row>
    <row r="23" ht="18" customHeight="1" spans="2:8">
      <c r="B23" s="104">
        <v>9</v>
      </c>
      <c r="C23" s="104" t="s">
        <v>25</v>
      </c>
      <c r="D23" s="105" t="str">
        <f>IFERROR(VLOOKUP(C23,'Bảng sản phẩm'!$B$4:$D$981,2,0),0)</f>
        <v>Giấy Smartis A4</v>
      </c>
      <c r="E23" s="105" t="str">
        <f>IFERROR(VLOOKUP(C23,'Bảng sản phẩm'!$B$4:$G$981,3,0),0)</f>
        <v>Ream</v>
      </c>
      <c r="F23" s="109">
        <v>5</v>
      </c>
      <c r="G23" s="107">
        <f>IFERROR(VLOOKUP(C23,'Bảng sản phẩm'!$B$4:$G$981,4,0),0)</f>
        <v>5564</v>
      </c>
      <c r="H23" s="108">
        <f t="shared" si="0"/>
        <v>27820</v>
      </c>
    </row>
    <row r="24" ht="18" customHeight="1" spans="2:8">
      <c r="B24" s="104">
        <v>10</v>
      </c>
      <c r="C24" s="104" t="s">
        <v>27</v>
      </c>
      <c r="D24" s="105" t="str">
        <f>IFERROR(VLOOKUP(C24,'Bảng sản phẩm'!$B$4:$D$981,2,0),0)</f>
        <v>Giấy quality A4 ĐL 70</v>
      </c>
      <c r="E24" s="105" t="str">
        <f>IFERROR(VLOOKUP(C24,'Bảng sản phẩm'!$B$4:$G$981,3,0),0)</f>
        <v>Ream</v>
      </c>
      <c r="F24" s="109">
        <v>5</v>
      </c>
      <c r="G24" s="107">
        <f>IFERROR(VLOOKUP(C24,'Bảng sản phẩm'!$B$4:$G$981,4,0),0)</f>
        <v>0</v>
      </c>
      <c r="H24" s="108">
        <f t="shared" si="0"/>
        <v>0</v>
      </c>
    </row>
    <row r="25" ht="18" customHeight="1" spans="2:8">
      <c r="B25" s="104">
        <v>11</v>
      </c>
      <c r="C25" s="104" t="s">
        <v>29</v>
      </c>
      <c r="D25" s="105" t="str">
        <f>IFERROR(VLOOKUP(C25,'Bảng sản phẩm'!$B$4:$D$981,2,0),0)</f>
        <v>Giấy Green Pine A4 70gms</v>
      </c>
      <c r="E25" s="105" t="str">
        <f>IFERROR(VLOOKUP(C25,'Bảng sản phẩm'!$B$4:$G$981,3,0),0)</f>
        <v>Ream</v>
      </c>
      <c r="F25" s="109">
        <v>5</v>
      </c>
      <c r="G25" s="107">
        <f>IFERROR(VLOOKUP(C25,'Bảng sản phẩm'!$B$4:$G$981,4,0),0)</f>
        <v>0</v>
      </c>
      <c r="H25" s="108">
        <f t="shared" si="0"/>
        <v>0</v>
      </c>
    </row>
    <row r="26" ht="18" customHeight="1" spans="2:8">
      <c r="B26" s="104">
        <v>12</v>
      </c>
      <c r="C26" s="104" t="s">
        <v>31</v>
      </c>
      <c r="D26" s="105" t="str">
        <f>IFERROR(VLOOKUP(C26,'Bảng sản phẩm'!$B$4:$D$981,2,0),0)</f>
        <v>Giấy IK one A4 70/90</v>
      </c>
      <c r="E26" s="105" t="str">
        <f>IFERROR(VLOOKUP(C26,'Bảng sản phẩm'!$B$4:$G$981,3,0),0)</f>
        <v>Ream</v>
      </c>
      <c r="F26" s="109">
        <v>5</v>
      </c>
      <c r="G26" s="107">
        <f>IFERROR(VLOOKUP(C26,'Bảng sản phẩm'!$B$4:$G$981,4,0),0)</f>
        <v>0</v>
      </c>
      <c r="H26" s="108">
        <f t="shared" si="0"/>
        <v>0</v>
      </c>
    </row>
    <row r="27" ht="18" customHeight="1" spans="2:8">
      <c r="B27" s="104">
        <v>13</v>
      </c>
      <c r="C27" s="104"/>
      <c r="D27" s="105">
        <f>IFERROR(VLOOKUP(C27,'Bảng sản phẩm'!$B$4:$D$981,2,0),0)</f>
        <v>0</v>
      </c>
      <c r="E27" s="105">
        <f>IFERROR(VLOOKUP(C27,'Bảng sản phẩm'!$B$4:$G$981,3,0),0)</f>
        <v>0</v>
      </c>
      <c r="F27" s="109">
        <v>5</v>
      </c>
      <c r="G27" s="107">
        <f>IFERROR(VLOOKUP(C27,'Bảng sản phẩm'!$B$4:$G$981,4,0),0)</f>
        <v>0</v>
      </c>
      <c r="H27" s="108">
        <f t="shared" si="0"/>
        <v>0</v>
      </c>
    </row>
    <row r="28" ht="18" customHeight="1" spans="2:8">
      <c r="B28" s="104">
        <v>14</v>
      </c>
      <c r="C28" s="104"/>
      <c r="D28" s="105">
        <f>IFERROR(VLOOKUP(C28,'Bảng sản phẩm'!$B$4:$D$981,2,0),0)</f>
        <v>0</v>
      </c>
      <c r="E28" s="105">
        <f>IFERROR(VLOOKUP(C28,'Bảng sản phẩm'!$B$4:$G$981,3,0),0)</f>
        <v>0</v>
      </c>
      <c r="F28" s="109">
        <v>5</v>
      </c>
      <c r="G28" s="107">
        <f>IFERROR(VLOOKUP(C28,'Bảng sản phẩm'!$B$4:$G$981,4,0),0)</f>
        <v>0</v>
      </c>
      <c r="H28" s="108">
        <f t="shared" si="0"/>
        <v>0</v>
      </c>
    </row>
    <row r="29" ht="18" customHeight="1" spans="2:8">
      <c r="B29" s="104">
        <v>15</v>
      </c>
      <c r="C29" s="104"/>
      <c r="D29" s="105">
        <f>IFERROR(VLOOKUP(C29,'Bảng sản phẩm'!$B$4:$D$981,2,0),0)</f>
        <v>0</v>
      </c>
      <c r="E29" s="105">
        <f>IFERROR(VLOOKUP(C29,'Bảng sản phẩm'!$B$4:$G$981,3,0),0)</f>
        <v>0</v>
      </c>
      <c r="F29" s="109">
        <v>5</v>
      </c>
      <c r="G29" s="107">
        <f>IFERROR(VLOOKUP(C29,'Bảng sản phẩm'!$B$4:$G$981,4,0),0)</f>
        <v>0</v>
      </c>
      <c r="H29" s="108">
        <f t="shared" si="0"/>
        <v>0</v>
      </c>
    </row>
    <row r="30" ht="18" customHeight="1" spans="2:8">
      <c r="B30" s="104">
        <v>16</v>
      </c>
      <c r="C30" s="104"/>
      <c r="D30" s="105">
        <f>IFERROR(VLOOKUP(C30,'Bảng sản phẩm'!$B$4:$D$981,2,0),0)</f>
        <v>0</v>
      </c>
      <c r="E30" s="105">
        <f>IFERROR(VLOOKUP(C30,'Bảng sản phẩm'!$B$4:$G$981,3,0),0)</f>
        <v>0</v>
      </c>
      <c r="F30" s="109"/>
      <c r="G30" s="107">
        <f>IFERROR(VLOOKUP(C30,'Bảng sản phẩm'!$B$4:$G$981,4,0),0)</f>
        <v>0</v>
      </c>
      <c r="H30" s="108">
        <f t="shared" si="0"/>
        <v>0</v>
      </c>
    </row>
    <row r="31" ht="18" customHeight="1" spans="2:8">
      <c r="B31" s="104">
        <v>17</v>
      </c>
      <c r="C31" s="104"/>
      <c r="D31" s="105">
        <f>IFERROR(VLOOKUP(C31,'Bảng sản phẩm'!$B$4:$D$981,2,0),0)</f>
        <v>0</v>
      </c>
      <c r="E31" s="105">
        <f>IFERROR(VLOOKUP(C31,'Bảng sản phẩm'!$B$4:$G$981,3,0),0)</f>
        <v>0</v>
      </c>
      <c r="F31" s="109"/>
      <c r="G31" s="107">
        <f>IFERROR(VLOOKUP(C31,'Bảng sản phẩm'!$B$4:$G$981,4,0),0)</f>
        <v>0</v>
      </c>
      <c r="H31" s="108">
        <f t="shared" si="0"/>
        <v>0</v>
      </c>
    </row>
    <row r="32" ht="18" customHeight="1" spans="2:8">
      <c r="B32" s="104">
        <v>18</v>
      </c>
      <c r="C32" s="104"/>
      <c r="D32" s="105">
        <f>IFERROR(VLOOKUP(C32,'Bảng sản phẩm'!$B$4:$D$981,2,0),0)</f>
        <v>0</v>
      </c>
      <c r="E32" s="105">
        <f>IFERROR(VLOOKUP(C32,'Bảng sản phẩm'!$B$4:$G$981,3,0),0)</f>
        <v>0</v>
      </c>
      <c r="F32" s="109"/>
      <c r="G32" s="107">
        <f>IFERROR(VLOOKUP(C32,'Bảng sản phẩm'!$B$4:$G$981,4,0),0)</f>
        <v>0</v>
      </c>
      <c r="H32" s="108">
        <f t="shared" si="0"/>
        <v>0</v>
      </c>
    </row>
    <row r="33" ht="18" customHeight="1" spans="1:36">
      <c r="B33" s="104">
        <v>19</v>
      </c>
      <c r="C33" s="104"/>
      <c r="D33" s="105">
        <f>IFERROR(VLOOKUP(C33,'Bảng sản phẩm'!$B$4:$D$981,2,0),0)</f>
        <v>0</v>
      </c>
      <c r="E33" s="105">
        <f>IFERROR(VLOOKUP(C33,'Bảng sản phẩm'!$B$4:$G$981,3,0),0)</f>
        <v>0</v>
      </c>
      <c r="F33" s="109"/>
      <c r="G33" s="107">
        <f>IFERROR(VLOOKUP(C33,'Bảng sản phẩm'!$B$4:$G$981,4,0),0)</f>
        <v>0</v>
      </c>
      <c r="H33" s="108">
        <f t="shared" si="0"/>
        <v>0</v>
      </c>
    </row>
    <row r="34" ht="18" customHeight="1" spans="1:36">
      <c r="B34" s="104">
        <v>20</v>
      </c>
      <c r="C34" s="104"/>
      <c r="D34" s="105">
        <f>IFERROR(VLOOKUP(C34,'Bảng sản phẩm'!$B$4:$D$981,2,0),0)</f>
        <v>0</v>
      </c>
      <c r="E34" s="105">
        <f>IFERROR(VLOOKUP(C34,'Bảng sản phẩm'!$B$4:$G$981,3,0),0)</f>
        <v>0</v>
      </c>
      <c r="F34" s="109"/>
      <c r="G34" s="107">
        <f>IFERROR(VLOOKUP(C34,'Bảng sản phẩm'!$B$4:$G$981,4,0),0)</f>
        <v>0</v>
      </c>
      <c r="H34" s="108">
        <f t="shared" si="0"/>
        <v>0</v>
      </c>
    </row>
    <row r="35" ht="18" customHeight="1" spans="1:36">
      <c r="B35" s="104">
        <v>21</v>
      </c>
      <c r="C35" s="104"/>
      <c r="D35" s="105">
        <f>IFERROR(VLOOKUP(C35,'Bảng sản phẩm'!$B$4:$D$981,2,0),0)</f>
        <v>0</v>
      </c>
      <c r="E35" s="105">
        <f>IFERROR(VLOOKUP(C35,'Bảng sản phẩm'!$B$4:$G$981,3,0),0)</f>
        <v>0</v>
      </c>
      <c r="F35" s="109"/>
      <c r="G35" s="107">
        <f>IFERROR(VLOOKUP(C35,'Bảng sản phẩm'!$B$4:$G$981,4,0),0)</f>
        <v>0</v>
      </c>
      <c r="H35" s="108">
        <f t="shared" si="0"/>
        <v>0</v>
      </c>
    </row>
    <row r="36" ht="18" customHeight="1" spans="1:36">
      <c r="B36" s="104">
        <v>22</v>
      </c>
      <c r="C36" s="104"/>
      <c r="D36" s="110"/>
      <c r="E36" s="105">
        <f>IFERROR(VLOOKUP(C36,'Bảng sản phẩm'!$B$4:$G$981,3,0),0)</f>
        <v>0</v>
      </c>
      <c r="F36" s="109"/>
      <c r="G36" s="107">
        <f>IFERROR(VLOOKUP(C36,'Bảng sản phẩm'!$B$4:$G$981,4,0),0)</f>
        <v>0</v>
      </c>
      <c r="H36" s="108">
        <f t="shared" si="0"/>
        <v>0</v>
      </c>
    </row>
    <row r="37" s="85" customFormat="1" ht="18" customHeight="1" spans="1:36">
      <c r="A37" s="102"/>
      <c r="B37" s="111" t="s">
        <v>632</v>
      </c>
      <c r="C37" s="112"/>
      <c r="D37" s="112"/>
      <c r="E37" s="112"/>
      <c r="F37" s="112"/>
      <c r="G37" s="113"/>
      <c r="H37" s="71">
        <f>SUM(H15:H36)</f>
        <v>753660</v>
      </c>
      <c r="I37" s="102"/>
      <c r="J37" s="114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</row>
    <row r="38" s="85" customFormat="1" ht="18" customHeight="1" spans="1:36">
      <c r="A38" s="102"/>
      <c r="B38" s="111" t="s">
        <v>633</v>
      </c>
      <c r="C38" s="112"/>
      <c r="D38" s="115">
        <v>0.08</v>
      </c>
      <c r="E38" s="116"/>
      <c r="F38" s="116"/>
      <c r="G38" s="117"/>
      <c r="H38" s="71">
        <f>+H37*D38</f>
        <v>60292.8</v>
      </c>
      <c r="I38" s="102"/>
      <c r="J38" s="114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</row>
    <row r="39" s="85" customFormat="1" ht="18" customHeight="1" spans="1:36">
      <c r="A39" s="102"/>
      <c r="B39" s="111" t="s">
        <v>634</v>
      </c>
      <c r="C39" s="112"/>
      <c r="D39" s="112"/>
      <c r="E39" s="112"/>
      <c r="F39" s="112"/>
      <c r="G39" s="113"/>
      <c r="H39" s="71">
        <f>+H38+H37</f>
        <v>813952.8</v>
      </c>
      <c r="I39" s="102"/>
      <c r="J39" s="114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</row>
    <row r="40" s="57" customFormat="1" spans="1:36">
      <c r="B40" s="111" t="s">
        <v>635</v>
      </c>
      <c r="C40" s="112"/>
      <c r="D40" s="116" t="str" cm="1">
        <f t="array" ref="D40">[1]!vnd(H39)</f>
        <v>Tám trăm mười ba nghìn, chín trăm năm mươi ba đồng chẵn.</v>
      </c>
      <c r="E40" s="116"/>
      <c r="F40" s="116"/>
      <c r="G40" s="116"/>
      <c r="H40" s="117"/>
      <c r="I40" s="118"/>
      <c r="K40" s="92"/>
    </row>
    <row r="41" s="57" customFormat="1" spans="1:36">
      <c r="B41" s="119" t="s">
        <v>636</v>
      </c>
      <c r="C41" s="119"/>
      <c r="D41" s="120"/>
      <c r="E41" s="121"/>
      <c r="F41" s="122"/>
      <c r="G41" s="123"/>
      <c r="H41" s="124"/>
      <c r="K41" s="92"/>
    </row>
    <row r="42" s="57" customFormat="1" spans="1:36">
      <c r="B42" s="125" t="s">
        <v>637</v>
      </c>
      <c r="C42" s="125"/>
      <c r="D42" s="125"/>
      <c r="E42" s="125"/>
      <c r="F42" s="125"/>
      <c r="G42" s="125"/>
      <c r="H42" s="125"/>
      <c r="K42" s="92"/>
    </row>
    <row r="43" s="57" customFormat="1" spans="1:36">
      <c r="B43" s="126" t="s">
        <v>638</v>
      </c>
      <c r="C43" s="126"/>
      <c r="D43" s="126"/>
      <c r="E43" s="126"/>
      <c r="F43" s="126"/>
      <c r="G43" s="126"/>
      <c r="H43" s="126"/>
      <c r="K43" s="92"/>
    </row>
    <row r="44" s="57" customFormat="1" spans="1:36">
      <c r="B44" s="126" t="s">
        <v>639</v>
      </c>
      <c r="C44" s="126"/>
      <c r="D44" s="126"/>
      <c r="E44" s="126"/>
      <c r="F44" s="126"/>
      <c r="G44" s="126"/>
      <c r="H44" s="126"/>
      <c r="K44" s="92"/>
    </row>
    <row r="45" s="57" customFormat="1" spans="1:36">
      <c r="B45" s="126" t="s">
        <v>640</v>
      </c>
      <c r="C45" s="126"/>
      <c r="D45" s="126"/>
      <c r="E45" s="126"/>
      <c r="F45" s="126"/>
      <c r="G45" s="126"/>
      <c r="H45" s="126"/>
      <c r="K45" s="92"/>
    </row>
    <row r="46" s="57" customFormat="1" ht="36" customHeight="1" spans="1:36">
      <c r="B46" s="127" t="s">
        <v>641</v>
      </c>
      <c r="C46" s="128"/>
      <c r="D46" s="120"/>
      <c r="E46" s="129"/>
      <c r="F46" s="122"/>
      <c r="G46" s="130"/>
      <c r="H46" s="124"/>
      <c r="K46" s="92"/>
    </row>
    <row r="47" s="57" customFormat="1" spans="1:36">
      <c r="B47" s="131" t="s">
        <v>642</v>
      </c>
      <c r="C47" s="132"/>
      <c r="D47" s="133"/>
      <c r="E47" s="134"/>
      <c r="F47" s="122"/>
      <c r="G47" s="130"/>
      <c r="H47" s="124"/>
      <c r="K47" s="92"/>
    </row>
    <row r="48" s="57" customFormat="1" spans="1:36">
      <c r="B48" s="130"/>
      <c r="C48" s="135"/>
      <c r="D48" s="136"/>
      <c r="E48" s="137"/>
      <c r="F48" s="122"/>
      <c r="G48" s="130"/>
      <c r="H48" s="124"/>
      <c r="K48" s="92"/>
    </row>
    <row r="49" s="57" customFormat="1" spans="2:11">
      <c r="B49" s="52"/>
      <c r="C49" s="138"/>
      <c r="D49" s="139"/>
      <c r="E49" s="140"/>
      <c r="F49" s="141"/>
      <c r="G49" s="124"/>
      <c r="H49" s="124"/>
      <c r="K49" s="92"/>
    </row>
    <row r="50" s="57" customFormat="1" spans="2:11">
      <c r="B50" s="52"/>
      <c r="C50" s="138"/>
      <c r="D50" s="139"/>
      <c r="E50" s="140"/>
      <c r="F50" s="141"/>
      <c r="G50" s="124"/>
      <c r="H50" s="124"/>
      <c r="K50" s="92"/>
    </row>
    <row r="51" s="57" customFormat="1" spans="2:11">
      <c r="B51" s="52"/>
      <c r="C51" s="138"/>
      <c r="D51" s="139"/>
      <c r="E51" s="140"/>
      <c r="F51" s="141"/>
      <c r="G51" s="124"/>
      <c r="H51" s="124"/>
      <c r="K51" s="92"/>
    </row>
    <row r="52" s="57" customFormat="1" spans="2:11">
      <c r="B52" s="52"/>
      <c r="C52" s="138"/>
      <c r="D52" s="139"/>
      <c r="E52" s="140"/>
      <c r="F52" s="141"/>
      <c r="G52" s="124"/>
      <c r="H52" s="124"/>
      <c r="K52" s="92"/>
    </row>
    <row r="53" s="57" customFormat="1" spans="2:11">
      <c r="B53" s="52"/>
      <c r="C53" s="138"/>
      <c r="D53" s="139"/>
      <c r="E53" s="140"/>
      <c r="F53" s="141"/>
      <c r="G53" s="124"/>
      <c r="H53" s="124"/>
      <c r="K53" s="92"/>
    </row>
    <row r="54" s="57" customFormat="1" spans="2:11">
      <c r="B54" s="52"/>
      <c r="C54" s="138"/>
      <c r="D54" s="139"/>
      <c r="E54" s="140"/>
      <c r="F54" s="141"/>
      <c r="G54" s="124"/>
      <c r="H54" s="124"/>
      <c r="K54" s="92"/>
    </row>
    <row r="55" s="57" customFormat="1" spans="2:11">
      <c r="B55" s="52"/>
      <c r="C55" s="138"/>
      <c r="D55" s="139"/>
      <c r="E55" s="140"/>
      <c r="F55" s="141"/>
      <c r="G55" s="124"/>
      <c r="H55" s="124"/>
      <c r="K55" s="92"/>
    </row>
    <row r="56" s="57" customFormat="1" spans="2:11">
      <c r="B56" s="52"/>
      <c r="C56" s="138"/>
      <c r="D56" s="139"/>
      <c r="E56" s="140"/>
      <c r="F56" s="141"/>
      <c r="G56" s="124"/>
      <c r="H56" s="124"/>
      <c r="K56" s="92"/>
    </row>
    <row r="57" s="57" customFormat="1" spans="2:11">
      <c r="B57" s="52"/>
      <c r="C57" s="138"/>
      <c r="D57" s="139"/>
      <c r="E57" s="140"/>
      <c r="F57" s="141"/>
      <c r="G57" s="124"/>
      <c r="H57" s="124"/>
      <c r="K57" s="92"/>
    </row>
    <row r="58" s="57" customFormat="1" spans="2:11">
      <c r="B58" s="52"/>
      <c r="C58" s="138"/>
      <c r="D58" s="139"/>
      <c r="E58" s="140"/>
      <c r="F58" s="141"/>
      <c r="G58" s="124"/>
      <c r="H58" s="124"/>
      <c r="K58" s="92"/>
    </row>
    <row r="59" s="57" customFormat="1" spans="2:11">
      <c r="B59" s="52"/>
      <c r="C59" s="138"/>
      <c r="D59" s="139"/>
      <c r="E59" s="140"/>
      <c r="F59" s="141"/>
      <c r="G59" s="124"/>
      <c r="H59" s="124"/>
      <c r="K59" s="92"/>
    </row>
    <row r="60" s="57" customFormat="1" spans="2:11">
      <c r="B60" s="52"/>
      <c r="C60" s="138"/>
      <c r="D60" s="139"/>
      <c r="E60" s="140"/>
      <c r="F60" s="141"/>
      <c r="G60" s="124"/>
      <c r="H60" s="124"/>
      <c r="K60" s="92"/>
    </row>
    <row r="61" s="57" customFormat="1" spans="2:11">
      <c r="B61" s="52"/>
      <c r="C61" s="138"/>
      <c r="D61" s="139"/>
      <c r="E61" s="140"/>
      <c r="F61" s="141"/>
      <c r="G61" s="124"/>
      <c r="H61" s="124"/>
      <c r="K61" s="92"/>
    </row>
    <row r="62" s="57" customFormat="1" spans="2:11">
      <c r="B62" s="52"/>
      <c r="C62" s="138"/>
      <c r="D62" s="139"/>
      <c r="E62" s="140"/>
      <c r="F62" s="141"/>
      <c r="G62" s="124"/>
      <c r="H62" s="124"/>
      <c r="K62" s="92"/>
    </row>
    <row r="63" s="57" customFormat="1" spans="2:11">
      <c r="B63" s="52"/>
      <c r="C63" s="138"/>
      <c r="D63" s="139"/>
      <c r="E63" s="140"/>
      <c r="F63" s="141"/>
      <c r="G63" s="124"/>
      <c r="H63" s="124"/>
      <c r="K63" s="92"/>
    </row>
    <row r="64" s="57" customFormat="1" spans="2:11">
      <c r="B64" s="52"/>
      <c r="C64" s="138"/>
      <c r="D64" s="139"/>
      <c r="E64" s="140"/>
      <c r="F64" s="141"/>
      <c r="G64" s="124"/>
      <c r="H64" s="124"/>
      <c r="K64" s="92"/>
    </row>
    <row r="65" s="57" customFormat="1" spans="2:11">
      <c r="B65" s="52"/>
      <c r="C65" s="138"/>
      <c r="D65" s="139"/>
      <c r="E65" s="140"/>
      <c r="F65" s="141"/>
      <c r="G65" s="124"/>
      <c r="H65" s="124"/>
      <c r="K65" s="92"/>
    </row>
    <row r="66" s="57" customFormat="1" spans="2:11">
      <c r="B66" s="52"/>
      <c r="C66" s="138"/>
      <c r="D66" s="139"/>
      <c r="E66" s="140"/>
      <c r="F66" s="141"/>
      <c r="G66" s="124"/>
      <c r="H66" s="124"/>
      <c r="K66" s="92"/>
    </row>
    <row r="67" s="57" customFormat="1" spans="2:11">
      <c r="B67" s="52"/>
      <c r="C67" s="138"/>
      <c r="D67" s="139"/>
      <c r="E67" s="140"/>
      <c r="F67" s="141"/>
      <c r="G67" s="124"/>
      <c r="H67" s="124"/>
      <c r="K67" s="92"/>
    </row>
    <row r="68" s="57" customFormat="1" spans="2:11">
      <c r="B68" s="52"/>
      <c r="C68" s="138"/>
      <c r="D68" s="139"/>
      <c r="E68" s="140"/>
      <c r="F68" s="141"/>
      <c r="G68" s="124"/>
      <c r="H68" s="124"/>
      <c r="K68" s="92"/>
    </row>
    <row r="69" s="57" customFormat="1" spans="2:11">
      <c r="B69" s="52"/>
      <c r="C69" s="138"/>
      <c r="D69" s="139"/>
      <c r="E69" s="140"/>
      <c r="F69" s="141"/>
      <c r="G69" s="124"/>
      <c r="H69" s="124"/>
      <c r="K69" s="92"/>
    </row>
    <row r="70" s="57" customFormat="1" spans="2:11">
      <c r="B70" s="52"/>
      <c r="C70" s="138"/>
      <c r="D70" s="139"/>
      <c r="E70" s="140"/>
      <c r="F70" s="141"/>
      <c r="G70" s="124"/>
      <c r="H70" s="124"/>
      <c r="K70" s="92"/>
    </row>
    <row r="71" s="57" customFormat="1" spans="2:11">
      <c r="B71" s="52"/>
      <c r="C71" s="138"/>
      <c r="D71" s="139"/>
      <c r="E71" s="140"/>
      <c r="F71" s="141"/>
      <c r="G71" s="124"/>
      <c r="H71" s="124"/>
      <c r="K71" s="92"/>
    </row>
    <row r="72" s="57" customFormat="1" spans="2:11">
      <c r="B72" s="52"/>
      <c r="C72" s="138"/>
      <c r="D72" s="139"/>
      <c r="E72" s="140"/>
      <c r="F72" s="141"/>
      <c r="G72" s="124"/>
      <c r="H72" s="124"/>
      <c r="K72" s="92"/>
    </row>
    <row r="73" s="57" customFormat="1" spans="2:11">
      <c r="B73" s="52"/>
      <c r="C73" s="138"/>
      <c r="D73" s="139"/>
      <c r="E73" s="140"/>
      <c r="F73" s="141"/>
      <c r="G73" s="124"/>
      <c r="H73" s="124"/>
      <c r="K73" s="92"/>
    </row>
    <row r="74" s="57" customFormat="1" spans="2:11">
      <c r="B74" s="52"/>
      <c r="C74" s="138"/>
      <c r="D74" s="139"/>
      <c r="E74" s="140"/>
      <c r="F74" s="141"/>
      <c r="G74" s="124"/>
      <c r="H74" s="124"/>
      <c r="K74" s="92"/>
    </row>
    <row r="75" s="57" customFormat="1" spans="2:11">
      <c r="B75" s="52"/>
      <c r="C75" s="138"/>
      <c r="D75" s="139"/>
      <c r="E75" s="140"/>
      <c r="F75" s="141"/>
      <c r="G75" s="124"/>
      <c r="H75" s="124"/>
      <c r="K75" s="92"/>
    </row>
    <row r="76" s="57" customFormat="1" spans="2:11">
      <c r="B76" s="52"/>
      <c r="C76" s="138"/>
      <c r="D76" s="139"/>
      <c r="E76" s="140"/>
      <c r="F76" s="141"/>
      <c r="G76" s="124"/>
      <c r="H76" s="124"/>
      <c r="K76" s="92"/>
    </row>
    <row r="77" s="57" customFormat="1" spans="2:11">
      <c r="B77" s="52"/>
      <c r="C77" s="138"/>
      <c r="D77" s="139"/>
      <c r="E77" s="140"/>
      <c r="F77" s="141"/>
      <c r="G77" s="124"/>
      <c r="H77" s="124"/>
      <c r="K77" s="92"/>
    </row>
    <row r="78" s="57" customFormat="1" spans="2:11">
      <c r="B78" s="52"/>
      <c r="C78" s="138"/>
      <c r="D78" s="139"/>
      <c r="E78" s="140"/>
      <c r="F78" s="141"/>
      <c r="G78" s="124"/>
      <c r="H78" s="124"/>
      <c r="K78" s="92"/>
    </row>
    <row r="79" s="57" customFormat="1" spans="2:11">
      <c r="B79" s="52"/>
      <c r="C79" s="138"/>
      <c r="D79" s="139"/>
      <c r="E79" s="140"/>
      <c r="F79" s="141"/>
      <c r="G79" s="124"/>
      <c r="H79" s="124"/>
      <c r="K79" s="92"/>
    </row>
    <row r="80" s="57" customFormat="1" spans="2:11">
      <c r="B80" s="52"/>
      <c r="C80" s="138"/>
      <c r="D80" s="139"/>
      <c r="E80" s="140"/>
      <c r="F80" s="141"/>
      <c r="G80" s="124"/>
      <c r="H80" s="124"/>
      <c r="K80" s="92"/>
    </row>
    <row r="81" s="57" customFormat="1" spans="2:11">
      <c r="B81" s="52"/>
      <c r="C81" s="138"/>
      <c r="D81" s="139"/>
      <c r="E81" s="140"/>
      <c r="F81" s="141"/>
      <c r="G81" s="124"/>
      <c r="H81" s="124"/>
      <c r="K81" s="92"/>
    </row>
    <row r="82" s="57" customFormat="1" spans="2:11">
      <c r="B82" s="52"/>
      <c r="C82" s="138"/>
      <c r="D82" s="139"/>
      <c r="E82" s="140"/>
      <c r="F82" s="141"/>
      <c r="G82" s="124"/>
      <c r="H82" s="124"/>
      <c r="K82" s="92"/>
    </row>
    <row r="83" s="57" customFormat="1" spans="2:11">
      <c r="B83" s="52"/>
      <c r="C83" s="138"/>
      <c r="D83" s="139"/>
      <c r="E83" s="140"/>
      <c r="F83" s="141"/>
      <c r="G83" s="124"/>
      <c r="H83" s="124"/>
      <c r="K83" s="92"/>
    </row>
    <row r="84" s="57" customFormat="1" spans="2:11">
      <c r="B84" s="52"/>
      <c r="C84" s="138"/>
      <c r="D84" s="139"/>
      <c r="E84" s="140"/>
      <c r="F84" s="141"/>
      <c r="G84" s="124"/>
      <c r="H84" s="124"/>
      <c r="K84" s="92"/>
    </row>
    <row r="85" s="57" customFormat="1" spans="2:11">
      <c r="B85" s="52"/>
      <c r="C85" s="138"/>
      <c r="D85" s="139"/>
      <c r="E85" s="140"/>
      <c r="F85" s="141"/>
      <c r="G85" s="124"/>
      <c r="H85" s="124"/>
      <c r="K85" s="92"/>
    </row>
    <row r="86" s="57" customFormat="1" spans="2:11">
      <c r="B86" s="52"/>
      <c r="C86" s="138"/>
      <c r="D86" s="139"/>
      <c r="E86" s="140"/>
      <c r="F86" s="141"/>
      <c r="G86" s="124"/>
      <c r="H86" s="124"/>
      <c r="K86" s="92"/>
    </row>
    <row r="87" s="57" customFormat="1" spans="2:11">
      <c r="B87" s="52"/>
      <c r="C87" s="138"/>
      <c r="D87" s="139"/>
      <c r="E87" s="140"/>
      <c r="F87" s="141"/>
      <c r="G87" s="124"/>
      <c r="H87" s="124"/>
      <c r="K87" s="92"/>
    </row>
    <row r="88" s="57" customFormat="1" spans="2:11">
      <c r="B88" s="52"/>
      <c r="C88" s="138"/>
      <c r="D88" s="139"/>
      <c r="E88" s="140"/>
      <c r="F88" s="141"/>
      <c r="G88" s="124"/>
      <c r="H88" s="124"/>
      <c r="K88" s="92"/>
    </row>
    <row r="89" s="57" customFormat="1" spans="2:11">
      <c r="B89" s="52"/>
      <c r="C89" s="138"/>
      <c r="D89" s="139"/>
      <c r="E89" s="140"/>
      <c r="F89" s="141"/>
      <c r="G89" s="124"/>
      <c r="H89" s="124"/>
      <c r="K89" s="92"/>
    </row>
    <row r="90" s="57" customFormat="1" spans="2:11">
      <c r="B90" s="52"/>
      <c r="C90" s="138"/>
      <c r="D90" s="139"/>
      <c r="E90" s="140"/>
      <c r="F90" s="141"/>
      <c r="G90" s="124"/>
      <c r="H90" s="124"/>
      <c r="K90" s="92"/>
    </row>
    <row r="91" s="57" customFormat="1" spans="2:11">
      <c r="B91" s="52"/>
      <c r="C91" s="138"/>
      <c r="D91" s="139"/>
      <c r="E91" s="140"/>
      <c r="F91" s="141"/>
      <c r="G91" s="124"/>
      <c r="H91" s="124"/>
      <c r="K91" s="92"/>
    </row>
    <row r="92" s="57" customFormat="1" spans="2:11">
      <c r="B92" s="52"/>
      <c r="C92" s="138"/>
      <c r="D92" s="139"/>
      <c r="E92" s="140"/>
      <c r="F92" s="141"/>
      <c r="G92" s="124"/>
      <c r="H92" s="124"/>
      <c r="K92" s="92"/>
    </row>
    <row r="93" s="57" customFormat="1" spans="2:11">
      <c r="B93" s="52"/>
      <c r="C93" s="138"/>
      <c r="D93" s="139"/>
      <c r="E93" s="140"/>
      <c r="F93" s="141"/>
      <c r="G93" s="124"/>
      <c r="H93" s="124"/>
      <c r="K93" s="92"/>
    </row>
    <row r="94" s="57" customFormat="1" spans="2:11">
      <c r="B94" s="52"/>
      <c r="C94" s="138"/>
      <c r="D94" s="139"/>
      <c r="E94" s="140"/>
      <c r="F94" s="141"/>
      <c r="G94" s="124"/>
      <c r="H94" s="124"/>
      <c r="K94" s="92"/>
    </row>
    <row r="95" s="57" customFormat="1" spans="2:11">
      <c r="B95" s="52"/>
      <c r="C95" s="138"/>
      <c r="D95" s="139"/>
      <c r="E95" s="140"/>
      <c r="F95" s="141"/>
      <c r="G95" s="124"/>
      <c r="H95" s="124"/>
      <c r="K95" s="92"/>
    </row>
    <row r="96" s="57" customFormat="1" spans="2:11">
      <c r="B96" s="52"/>
      <c r="C96" s="138"/>
      <c r="D96" s="139"/>
      <c r="E96" s="140"/>
      <c r="F96" s="141"/>
      <c r="G96" s="124"/>
      <c r="H96" s="124"/>
      <c r="K96" s="92"/>
    </row>
    <row r="97" s="57" customFormat="1" spans="2:11">
      <c r="B97" s="52"/>
      <c r="C97" s="138"/>
      <c r="D97" s="139"/>
      <c r="E97" s="140"/>
      <c r="F97" s="141"/>
      <c r="G97" s="124"/>
      <c r="H97" s="124"/>
      <c r="K97" s="92"/>
    </row>
    <row r="98" s="57" customFormat="1" spans="2:11">
      <c r="B98" s="52"/>
      <c r="C98" s="138"/>
      <c r="D98" s="139"/>
      <c r="E98" s="140"/>
      <c r="F98" s="141"/>
      <c r="G98" s="124"/>
      <c r="H98" s="124"/>
      <c r="K98" s="92"/>
    </row>
    <row r="99" s="57" customFormat="1" spans="2:11">
      <c r="B99" s="52"/>
      <c r="C99" s="138"/>
      <c r="D99" s="139"/>
      <c r="E99" s="140"/>
      <c r="F99" s="141"/>
      <c r="G99" s="124"/>
      <c r="H99" s="124"/>
      <c r="K99" s="92"/>
    </row>
    <row r="100" s="57" customFormat="1" spans="2:11">
      <c r="B100" s="52"/>
      <c r="C100" s="138"/>
      <c r="D100" s="139"/>
      <c r="E100" s="140"/>
      <c r="F100" s="141"/>
      <c r="G100" s="124"/>
      <c r="H100" s="124"/>
      <c r="K100" s="92"/>
    </row>
    <row r="101" s="57" customFormat="1" spans="2:11">
      <c r="B101" s="52"/>
      <c r="C101" s="138"/>
      <c r="D101" s="139"/>
      <c r="E101" s="140"/>
      <c r="F101" s="141"/>
      <c r="G101" s="124"/>
      <c r="H101" s="124"/>
      <c r="K101" s="92"/>
    </row>
    <row r="102" s="57" customFormat="1" spans="2:11">
      <c r="B102" s="52"/>
      <c r="C102" s="138"/>
      <c r="D102" s="139"/>
      <c r="E102" s="140"/>
      <c r="F102" s="141"/>
      <c r="G102" s="124"/>
      <c r="H102" s="124"/>
      <c r="K102" s="92"/>
    </row>
    <row r="103" s="57" customFormat="1" spans="2:11">
      <c r="B103" s="52"/>
      <c r="C103" s="138"/>
      <c r="D103" s="139"/>
      <c r="E103" s="140"/>
      <c r="F103" s="141"/>
      <c r="G103" s="124"/>
      <c r="H103" s="124"/>
      <c r="K103" s="92"/>
    </row>
    <row r="104" s="57" customFormat="1" spans="2:11">
      <c r="B104" s="52"/>
      <c r="C104" s="138"/>
      <c r="D104" s="139"/>
      <c r="E104" s="140"/>
      <c r="F104" s="141"/>
      <c r="G104" s="124"/>
      <c r="H104" s="124"/>
      <c r="K104" s="92"/>
    </row>
    <row r="105" s="57" customFormat="1" spans="2:11">
      <c r="B105" s="52"/>
      <c r="C105" s="138"/>
      <c r="D105" s="139"/>
      <c r="E105" s="140"/>
      <c r="F105" s="141"/>
      <c r="G105" s="124"/>
      <c r="H105" s="124"/>
      <c r="K105" s="92"/>
    </row>
    <row r="106" s="57" customFormat="1" spans="2:11">
      <c r="B106" s="52"/>
      <c r="C106" s="138"/>
      <c r="D106" s="139"/>
      <c r="E106" s="140"/>
      <c r="F106" s="141"/>
      <c r="G106" s="124"/>
      <c r="H106" s="124"/>
      <c r="K106" s="92"/>
    </row>
    <row r="107" s="57" customFormat="1" spans="2:11">
      <c r="B107" s="52"/>
      <c r="C107" s="138"/>
      <c r="D107" s="139"/>
      <c r="E107" s="140"/>
      <c r="F107" s="141"/>
      <c r="G107" s="124"/>
      <c r="H107" s="124"/>
      <c r="K107" s="92"/>
    </row>
    <row r="108" s="57" customFormat="1" spans="2:11">
      <c r="B108" s="52"/>
      <c r="C108" s="138"/>
      <c r="D108" s="139"/>
      <c r="E108" s="140"/>
      <c r="F108" s="141"/>
      <c r="G108" s="124"/>
      <c r="H108" s="124"/>
      <c r="K108" s="92"/>
    </row>
    <row r="109" s="57" customFormat="1" spans="2:11">
      <c r="B109" s="52"/>
      <c r="C109" s="138"/>
      <c r="D109" s="139"/>
      <c r="E109" s="140"/>
      <c r="F109" s="141"/>
      <c r="G109" s="124"/>
      <c r="H109" s="124"/>
      <c r="K109" s="92"/>
    </row>
    <row r="110" s="57" customFormat="1" spans="2:11">
      <c r="B110" s="52"/>
      <c r="C110" s="138"/>
      <c r="D110" s="139"/>
      <c r="E110" s="140"/>
      <c r="F110" s="141"/>
      <c r="G110" s="124"/>
      <c r="H110" s="124"/>
      <c r="K110" s="92"/>
    </row>
    <row r="111" s="57" customFormat="1" spans="2:11">
      <c r="B111" s="52"/>
      <c r="C111" s="138"/>
      <c r="D111" s="139"/>
      <c r="E111" s="140"/>
      <c r="F111" s="141"/>
      <c r="G111" s="124"/>
      <c r="H111" s="124"/>
      <c r="K111" s="92"/>
    </row>
    <row r="112" s="57" customFormat="1" spans="2:11">
      <c r="B112" s="52"/>
      <c r="C112" s="138"/>
      <c r="D112" s="139"/>
      <c r="E112" s="140"/>
      <c r="F112" s="141"/>
      <c r="G112" s="124"/>
      <c r="H112" s="124"/>
      <c r="K112" s="92"/>
    </row>
    <row r="113" s="57" customFormat="1" spans="2:11">
      <c r="B113" s="52"/>
      <c r="C113" s="138"/>
      <c r="D113" s="139"/>
      <c r="E113" s="140"/>
      <c r="F113" s="141"/>
      <c r="G113" s="124"/>
      <c r="H113" s="124"/>
      <c r="K113" s="92"/>
    </row>
    <row r="114" s="57" customFormat="1" spans="2:11">
      <c r="B114" s="52"/>
      <c r="C114" s="138"/>
      <c r="D114" s="139"/>
      <c r="E114" s="140"/>
      <c r="F114" s="141"/>
      <c r="G114" s="124"/>
      <c r="H114" s="124"/>
      <c r="K114" s="92"/>
    </row>
    <row r="115" s="57" customFormat="1" spans="2:11">
      <c r="B115" s="52"/>
      <c r="C115" s="138"/>
      <c r="D115" s="139"/>
      <c r="E115" s="140"/>
      <c r="F115" s="141"/>
      <c r="G115" s="124"/>
      <c r="H115" s="124"/>
      <c r="K115" s="92"/>
    </row>
    <row r="116" s="57" customFormat="1" spans="2:11">
      <c r="B116" s="52"/>
      <c r="C116" s="138"/>
      <c r="D116" s="139"/>
      <c r="E116" s="140"/>
      <c r="F116" s="141"/>
      <c r="G116" s="124"/>
      <c r="H116" s="124"/>
      <c r="K116" s="92"/>
    </row>
    <row r="117" s="57" customFormat="1" spans="2:11">
      <c r="B117" s="52"/>
      <c r="C117" s="138"/>
      <c r="D117" s="139"/>
      <c r="E117" s="140"/>
      <c r="F117" s="141"/>
      <c r="G117" s="124"/>
      <c r="H117" s="124"/>
      <c r="K117" s="92"/>
    </row>
    <row r="118" s="57" customFormat="1" spans="2:11">
      <c r="B118" s="52"/>
      <c r="C118" s="138"/>
      <c r="D118" s="139"/>
      <c r="E118" s="140"/>
      <c r="F118" s="141"/>
      <c r="G118" s="124"/>
      <c r="H118" s="124"/>
      <c r="K118" s="92"/>
    </row>
    <row r="119" s="57" customFormat="1" spans="2:11">
      <c r="B119" s="52"/>
      <c r="C119" s="138"/>
      <c r="D119" s="139"/>
      <c r="E119" s="140"/>
      <c r="F119" s="141"/>
      <c r="G119" s="124"/>
      <c r="H119" s="124"/>
      <c r="K119" s="92"/>
    </row>
    <row r="120" s="57" customFormat="1" spans="2:11">
      <c r="B120" s="52"/>
      <c r="C120" s="138"/>
      <c r="D120" s="139"/>
      <c r="E120" s="140"/>
      <c r="F120" s="141"/>
      <c r="G120" s="124"/>
      <c r="H120" s="124"/>
      <c r="K120" s="92"/>
    </row>
    <row r="121" s="57" customFormat="1" spans="2:11">
      <c r="B121" s="52"/>
      <c r="C121" s="138"/>
      <c r="D121" s="139"/>
      <c r="E121" s="140"/>
      <c r="F121" s="141"/>
      <c r="G121" s="124"/>
      <c r="H121" s="124"/>
      <c r="K121" s="92"/>
    </row>
    <row r="122" s="57" customFormat="1" spans="2:11">
      <c r="B122" s="52"/>
      <c r="C122" s="138"/>
      <c r="D122" s="139"/>
      <c r="E122" s="140"/>
      <c r="F122" s="141"/>
      <c r="G122" s="124"/>
      <c r="H122" s="124"/>
      <c r="K122" s="92"/>
    </row>
    <row r="123" s="57" customFormat="1" spans="2:11">
      <c r="B123" s="52"/>
      <c r="C123" s="138"/>
      <c r="D123" s="139"/>
      <c r="E123" s="140"/>
      <c r="F123" s="141"/>
      <c r="G123" s="124"/>
      <c r="H123" s="124"/>
      <c r="K123" s="92"/>
    </row>
    <row r="124" s="57" customFormat="1" spans="2:11">
      <c r="B124" s="52"/>
      <c r="C124" s="138"/>
      <c r="D124" s="139"/>
      <c r="E124" s="140"/>
      <c r="F124" s="141"/>
      <c r="G124" s="124"/>
      <c r="H124" s="124"/>
      <c r="K124" s="92"/>
    </row>
    <row r="125" s="57" customFormat="1" spans="2:11">
      <c r="B125" s="52"/>
      <c r="C125" s="138"/>
      <c r="D125" s="139"/>
      <c r="E125" s="140"/>
      <c r="F125" s="141"/>
      <c r="G125" s="124"/>
      <c r="H125" s="124"/>
      <c r="K125" s="92"/>
    </row>
    <row r="126" s="57" customFormat="1" spans="2:11">
      <c r="B126" s="52"/>
      <c r="C126" s="138"/>
      <c r="D126" s="139"/>
      <c r="E126" s="140"/>
      <c r="F126" s="141"/>
      <c r="G126" s="124"/>
      <c r="H126" s="124"/>
      <c r="K126" s="92"/>
    </row>
    <row r="127" s="57" customFormat="1" spans="2:11">
      <c r="B127" s="52"/>
      <c r="C127" s="138"/>
      <c r="D127" s="139"/>
      <c r="E127" s="140"/>
      <c r="F127" s="141"/>
      <c r="G127" s="124"/>
      <c r="H127" s="124"/>
      <c r="K127" s="92"/>
    </row>
    <row r="128" s="57" customFormat="1" spans="2:11">
      <c r="B128" s="52"/>
      <c r="C128" s="138"/>
      <c r="D128" s="139"/>
      <c r="E128" s="140"/>
      <c r="F128" s="141"/>
      <c r="G128" s="124"/>
      <c r="H128" s="124"/>
      <c r="K128" s="92"/>
    </row>
    <row r="129" s="57" customFormat="1" spans="2:11">
      <c r="B129" s="52"/>
      <c r="C129" s="138"/>
      <c r="D129" s="139"/>
      <c r="E129" s="140"/>
      <c r="F129" s="141"/>
      <c r="G129" s="124"/>
      <c r="H129" s="124"/>
      <c r="K129" s="92"/>
    </row>
    <row r="130" s="57" customFormat="1" spans="2:11">
      <c r="B130" s="52"/>
      <c r="C130" s="138"/>
      <c r="D130" s="139"/>
      <c r="E130" s="140"/>
      <c r="F130" s="141"/>
      <c r="G130" s="124"/>
      <c r="H130" s="124"/>
      <c r="K130" s="92"/>
    </row>
    <row r="131" s="57" customFormat="1" spans="2:11">
      <c r="B131" s="52"/>
      <c r="C131" s="138"/>
      <c r="D131" s="139"/>
      <c r="E131" s="140"/>
      <c r="F131" s="141"/>
      <c r="G131" s="124"/>
      <c r="H131" s="124"/>
      <c r="K131" s="92"/>
    </row>
    <row r="132" s="57" customFormat="1" spans="2:11">
      <c r="B132" s="52"/>
      <c r="C132" s="138"/>
      <c r="D132" s="139"/>
      <c r="E132" s="140"/>
      <c r="F132" s="141"/>
      <c r="G132" s="124"/>
      <c r="H132" s="124"/>
      <c r="K132" s="92"/>
    </row>
    <row r="133" s="57" customFormat="1" spans="2:11">
      <c r="B133" s="52"/>
      <c r="C133" s="138"/>
      <c r="D133" s="139"/>
      <c r="E133" s="140"/>
      <c r="F133" s="141"/>
      <c r="G133" s="124"/>
      <c r="H133" s="124"/>
      <c r="K133" s="92"/>
    </row>
    <row r="134" s="57" customFormat="1" spans="2:11">
      <c r="B134" s="52"/>
      <c r="C134" s="138"/>
      <c r="D134" s="139"/>
      <c r="E134" s="140"/>
      <c r="F134" s="141"/>
      <c r="G134" s="124"/>
      <c r="H134" s="124"/>
      <c r="K134" s="92"/>
    </row>
    <row r="135" s="57" customFormat="1" spans="2:11">
      <c r="B135" s="52"/>
      <c r="C135" s="138"/>
      <c r="D135" s="139"/>
      <c r="E135" s="140"/>
      <c r="F135" s="141"/>
      <c r="G135" s="124"/>
      <c r="H135" s="124"/>
      <c r="K135" s="92"/>
    </row>
    <row r="136" s="57" customFormat="1" spans="2:11">
      <c r="B136" s="52"/>
      <c r="C136" s="138"/>
      <c r="D136" s="139"/>
      <c r="E136" s="140"/>
      <c r="F136" s="141"/>
      <c r="G136" s="124"/>
      <c r="H136" s="124"/>
      <c r="K136" s="92"/>
    </row>
    <row r="137" s="57" customFormat="1" spans="2:11">
      <c r="B137" s="52"/>
      <c r="C137" s="138"/>
      <c r="D137" s="139"/>
      <c r="E137" s="140"/>
      <c r="F137" s="141"/>
      <c r="G137" s="124"/>
      <c r="H137" s="124"/>
      <c r="K137" s="92"/>
    </row>
    <row r="138" s="57" customFormat="1" spans="2:11">
      <c r="B138" s="52"/>
      <c r="C138" s="138"/>
      <c r="D138" s="139"/>
      <c r="E138" s="140"/>
      <c r="F138" s="141"/>
      <c r="G138" s="124"/>
      <c r="H138" s="124"/>
      <c r="K138" s="92"/>
    </row>
    <row r="139" s="57" customFormat="1" spans="2:11">
      <c r="B139" s="52"/>
      <c r="C139" s="138"/>
      <c r="D139" s="139"/>
      <c r="E139" s="140"/>
      <c r="F139" s="141"/>
      <c r="G139" s="124"/>
      <c r="H139" s="124"/>
      <c r="K139" s="92"/>
    </row>
    <row r="140" s="57" customFormat="1" spans="2:11">
      <c r="B140" s="52"/>
      <c r="C140" s="138"/>
      <c r="D140" s="139"/>
      <c r="E140" s="140"/>
      <c r="F140" s="141"/>
      <c r="G140" s="124"/>
      <c r="H140" s="124"/>
      <c r="K140" s="92"/>
    </row>
    <row r="141" s="57" customFormat="1" spans="2:11">
      <c r="B141" s="52"/>
      <c r="C141" s="138"/>
      <c r="D141" s="139"/>
      <c r="E141" s="140"/>
      <c r="F141" s="141"/>
      <c r="G141" s="124"/>
      <c r="H141" s="124"/>
      <c r="K141" s="92"/>
    </row>
    <row r="142" s="57" customFormat="1" spans="2:11">
      <c r="B142" s="52"/>
      <c r="C142" s="138"/>
      <c r="D142" s="139"/>
      <c r="E142" s="140"/>
      <c r="F142" s="141"/>
      <c r="G142" s="124"/>
      <c r="H142" s="124"/>
      <c r="K142" s="92"/>
    </row>
    <row r="143" s="57" customFormat="1" spans="2:11">
      <c r="B143" s="52"/>
      <c r="C143" s="138"/>
      <c r="D143" s="139"/>
      <c r="E143" s="140"/>
      <c r="F143" s="141"/>
      <c r="G143" s="124"/>
      <c r="H143" s="124"/>
      <c r="K143" s="92"/>
    </row>
    <row r="144" s="57" customFormat="1" spans="2:11">
      <c r="B144" s="52"/>
      <c r="C144" s="138"/>
      <c r="D144" s="139"/>
      <c r="E144" s="140"/>
      <c r="F144" s="141"/>
      <c r="G144" s="124"/>
      <c r="H144" s="124"/>
      <c r="K144" s="92"/>
    </row>
    <row r="145" s="57" customFormat="1" spans="2:11">
      <c r="B145" s="52"/>
      <c r="C145" s="138"/>
      <c r="D145" s="139"/>
      <c r="E145" s="140"/>
      <c r="F145" s="141"/>
      <c r="G145" s="124"/>
      <c r="H145" s="124"/>
      <c r="K145" s="92"/>
    </row>
    <row r="146" s="57" customFormat="1" spans="2:11">
      <c r="B146" s="52"/>
      <c r="C146" s="138"/>
      <c r="D146" s="139"/>
      <c r="E146" s="140"/>
      <c r="F146" s="141"/>
      <c r="G146" s="124"/>
      <c r="H146" s="124"/>
      <c r="K146" s="92"/>
    </row>
    <row r="147" s="57" customFormat="1" spans="2:11">
      <c r="B147" s="52"/>
      <c r="C147" s="138"/>
      <c r="D147" s="139"/>
      <c r="E147" s="140"/>
      <c r="F147" s="141"/>
      <c r="G147" s="124"/>
      <c r="H147" s="124"/>
      <c r="K147" s="92"/>
    </row>
    <row r="148" s="57" customFormat="1" spans="2:11">
      <c r="B148" s="52"/>
      <c r="C148" s="138"/>
      <c r="D148" s="139"/>
      <c r="E148" s="140"/>
      <c r="F148" s="141"/>
      <c r="G148" s="124"/>
      <c r="H148" s="124"/>
      <c r="K148" s="92"/>
    </row>
    <row r="149" s="57" customFormat="1" spans="2:11">
      <c r="B149" s="52"/>
      <c r="C149" s="138"/>
      <c r="D149" s="139"/>
      <c r="E149" s="140"/>
      <c r="F149" s="141"/>
      <c r="G149" s="124"/>
      <c r="H149" s="124"/>
      <c r="K149" s="92"/>
    </row>
    <row r="150" s="57" customFormat="1" spans="2:11">
      <c r="B150" s="52"/>
      <c r="C150" s="138"/>
      <c r="D150" s="139"/>
      <c r="E150" s="140"/>
      <c r="F150" s="141"/>
      <c r="G150" s="124"/>
      <c r="H150" s="124"/>
      <c r="K150" s="92"/>
    </row>
    <row r="151" s="57" customFormat="1" spans="2:11">
      <c r="B151" s="52"/>
      <c r="C151" s="138"/>
      <c r="D151" s="139"/>
      <c r="E151" s="140"/>
      <c r="F151" s="141"/>
      <c r="G151" s="124"/>
      <c r="H151" s="124"/>
      <c r="K151" s="92"/>
    </row>
    <row r="152" s="57" customFormat="1" spans="2:11">
      <c r="B152" s="52"/>
      <c r="C152" s="138"/>
      <c r="D152" s="139"/>
      <c r="E152" s="140"/>
      <c r="F152" s="141"/>
      <c r="G152" s="124"/>
      <c r="H152" s="124"/>
      <c r="K152" s="92"/>
    </row>
    <row r="153" s="57" customFormat="1" spans="2:11">
      <c r="B153" s="52"/>
      <c r="C153" s="138"/>
      <c r="D153" s="139"/>
      <c r="E153" s="140"/>
      <c r="F153" s="141"/>
      <c r="G153" s="124"/>
      <c r="H153" s="124"/>
      <c r="K153" s="92"/>
    </row>
    <row r="154" s="57" customFormat="1" spans="2:11">
      <c r="B154" s="52"/>
      <c r="C154" s="138"/>
      <c r="D154" s="139"/>
      <c r="E154" s="140"/>
      <c r="F154" s="141"/>
      <c r="G154" s="124"/>
      <c r="H154" s="124"/>
      <c r="K154" s="92"/>
    </row>
    <row r="155" s="57" customFormat="1" spans="2:11">
      <c r="B155" s="52"/>
      <c r="C155" s="138"/>
      <c r="D155" s="139"/>
      <c r="E155" s="140"/>
      <c r="F155" s="141"/>
      <c r="G155" s="124"/>
      <c r="H155" s="124"/>
      <c r="K155" s="92"/>
    </row>
    <row r="156" s="57" customFormat="1" spans="2:11">
      <c r="B156" s="52"/>
      <c r="C156" s="138"/>
      <c r="D156" s="139"/>
      <c r="E156" s="140"/>
      <c r="F156" s="141"/>
      <c r="G156" s="124"/>
      <c r="H156" s="124"/>
      <c r="K156" s="92"/>
    </row>
    <row r="157" s="57" customFormat="1" spans="2:11">
      <c r="B157" s="52"/>
      <c r="C157" s="138"/>
      <c r="D157" s="139"/>
      <c r="E157" s="140"/>
      <c r="F157" s="141"/>
      <c r="G157" s="124"/>
      <c r="H157" s="124"/>
      <c r="K157" s="92"/>
    </row>
    <row r="158" s="57" customFormat="1" spans="2:11">
      <c r="B158" s="52"/>
      <c r="C158" s="138"/>
      <c r="D158" s="139"/>
      <c r="E158" s="140"/>
      <c r="F158" s="141"/>
      <c r="G158" s="124"/>
      <c r="H158" s="124"/>
      <c r="K158" s="92"/>
    </row>
    <row r="159" s="57" customFormat="1" spans="2:11">
      <c r="B159" s="52"/>
      <c r="C159" s="138"/>
      <c r="D159" s="139"/>
      <c r="E159" s="140"/>
      <c r="F159" s="141"/>
      <c r="G159" s="124"/>
      <c r="H159" s="124"/>
      <c r="K159" s="92"/>
    </row>
  </sheetData>
  <sheetProtection selectLockedCells="1" selectUnlockedCells="1"/>
  <mergeCells count="17">
    <mergeCell ref="B1:H1"/>
    <mergeCell ref="B5:H5"/>
    <mergeCell ref="B6:H6"/>
    <mergeCell ref="B7:H7"/>
    <mergeCell ref="B8:C8"/>
    <mergeCell ref="D8:H8"/>
    <mergeCell ref="B9:H9"/>
    <mergeCell ref="B10:H10"/>
    <mergeCell ref="B11:H11"/>
    <mergeCell ref="B12:H12"/>
    <mergeCell ref="G13:H13"/>
    <mergeCell ref="D40:H40"/>
    <mergeCell ref="B41:C41"/>
    <mergeCell ref="B42:H42"/>
    <mergeCell ref="B43:H43"/>
    <mergeCell ref="B44:H44"/>
    <mergeCell ref="B45:H45"/>
  </mergeCells>
  <pageMargins left="0.7" right="0.7" top="0.75" bottom="0" header="0.3" footer="0.3"/>
  <pageSetup paperSize="9" scale="7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7"/>
  <sheetViews>
    <sheetView zoomScaleSheetLayoutView="85" topLeftCell="A25" workbookViewId="0">
      <selection activeCell="O45" sqref="O45"/>
    </sheetView>
  </sheetViews>
  <sheetFormatPr defaultColWidth="8.88571428571429" defaultRowHeight="18.75"/>
  <cols>
    <col min="1" max="1" width="1.43809523809524" style="57" customWidth="1"/>
    <col min="2" max="2" width="4.66666666666667" style="86" customWidth="1"/>
    <col min="3" max="3" width="13.8857142857143" style="87" customWidth="1"/>
    <col min="4" max="4" width="47.7809523809524" style="88" customWidth="1"/>
    <col min="5" max="5" width="8.88571428571429" style="89" customWidth="1"/>
    <col min="6" max="6" width="9" style="90" customWidth="1"/>
    <col min="7" max="7" width="13.1047619047619" style="91" customWidth="1"/>
    <col min="8" max="8" width="16.4380952380952" style="91" customWidth="1"/>
    <col min="9" max="9" width="28.2190476190476" style="57" customWidth="1"/>
    <col min="10" max="10" width="14.552380952381" style="57" customWidth="1"/>
    <col min="11" max="11" width="15.3333333333333" style="92" customWidth="1"/>
    <col min="12" max="12" width="15.3333333333333" style="57" customWidth="1"/>
    <col min="13" max="13" width="12.8857142857143" style="57" customWidth="1"/>
    <col min="14" max="15" width="12.552380952381" style="57" customWidth="1"/>
    <col min="16" max="36" width="8.88571428571429" style="57"/>
    <col min="37" max="16384" width="8.88571428571429" style="41"/>
  </cols>
  <sheetData>
    <row r="1" ht="25.8" customHeight="1" spans="1:36">
      <c r="B1" s="93" t="s">
        <v>613</v>
      </c>
      <c r="C1" s="93"/>
      <c r="D1" s="93"/>
      <c r="E1" s="93"/>
      <c r="F1" s="93"/>
      <c r="G1" s="93"/>
      <c r="H1" s="93"/>
    </row>
    <row r="2" ht="17.4" customHeight="1" spans="1:36">
      <c r="B2" s="52"/>
      <c r="C2" s="94"/>
      <c r="D2" s="94" t="s">
        <v>614</v>
      </c>
      <c r="E2" s="94"/>
      <c r="F2" s="94"/>
      <c r="G2" s="94"/>
      <c r="H2" s="94"/>
    </row>
    <row r="3" ht="17.4" customHeight="1" spans="1:36">
      <c r="B3" s="52"/>
      <c r="C3" s="94"/>
      <c r="D3" s="94" t="s">
        <v>615</v>
      </c>
      <c r="E3" s="94"/>
      <c r="F3" s="94"/>
      <c r="G3" s="94"/>
      <c r="H3" s="94"/>
    </row>
    <row r="4" ht="17.4" customHeight="1" spans="1:36">
      <c r="B4" s="52"/>
      <c r="C4" s="94"/>
      <c r="D4" s="94" t="s">
        <v>616</v>
      </c>
      <c r="E4" s="94"/>
      <c r="F4" s="94"/>
      <c r="G4" s="94"/>
      <c r="H4" s="94"/>
    </row>
    <row r="5" ht="21.6" customHeight="1" spans="1:36">
      <c r="A5" s="41"/>
      <c r="B5" s="41"/>
      <c r="C5" s="55"/>
      <c r="D5" s="95" t="s">
        <v>643</v>
      </c>
      <c r="E5" s="95"/>
      <c r="F5" s="95"/>
      <c r="G5" s="95"/>
      <c r="H5" s="55"/>
    </row>
    <row r="6" ht="21.6" customHeight="1" spans="1:36">
      <c r="A6" s="41"/>
      <c r="B6" s="95"/>
      <c r="C6" s="95"/>
      <c r="D6" s="96" t="s">
        <v>644</v>
      </c>
      <c r="E6" s="96"/>
      <c r="F6" s="96"/>
      <c r="G6" s="96"/>
      <c r="H6" s="95"/>
    </row>
    <row r="7" s="42" customFormat="1" ht="20.4" customHeight="1" spans="1:36">
      <c r="A7" s="59"/>
      <c r="B7" s="97" t="s">
        <v>619</v>
      </c>
      <c r="C7" s="97"/>
      <c r="D7" s="97"/>
      <c r="E7" s="97"/>
      <c r="F7" s="97"/>
      <c r="G7" s="97"/>
      <c r="H7" s="97"/>
      <c r="I7" s="59"/>
      <c r="J7" s="59"/>
      <c r="K7" s="98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</row>
    <row r="8" s="42" customFormat="1" ht="22.2" customHeight="1" spans="1:36">
      <c r="A8" s="59"/>
      <c r="B8" s="66" t="s">
        <v>620</v>
      </c>
      <c r="C8" s="66"/>
      <c r="D8" s="99" t="s">
        <v>621</v>
      </c>
      <c r="E8" s="99"/>
      <c r="F8" s="99"/>
      <c r="G8" s="99"/>
      <c r="H8" s="99"/>
      <c r="I8" s="59"/>
      <c r="J8" s="59"/>
      <c r="K8" s="98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</row>
    <row r="9" s="42" customFormat="1" ht="18" customHeight="1" spans="1:36">
      <c r="A9" s="59"/>
      <c r="B9" s="66" t="s">
        <v>622</v>
      </c>
      <c r="C9" s="66"/>
      <c r="D9" s="66"/>
      <c r="E9" s="66"/>
      <c r="F9" s="66"/>
      <c r="G9" s="66"/>
      <c r="H9" s="66"/>
      <c r="I9" s="59"/>
      <c r="J9" s="59"/>
      <c r="K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</row>
    <row r="10" s="42" customFormat="1" ht="18" customHeight="1" spans="1:36">
      <c r="A10" s="59"/>
      <c r="B10" s="66" t="s">
        <v>623</v>
      </c>
      <c r="C10" s="66"/>
      <c r="D10" s="66"/>
      <c r="E10" s="66"/>
      <c r="F10" s="66"/>
      <c r="G10" s="66"/>
      <c r="H10" s="66"/>
      <c r="I10" s="59"/>
      <c r="J10" s="59"/>
      <c r="K10" s="98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</row>
    <row r="11" s="42" customFormat="1" ht="18" customHeight="1" spans="1:36">
      <c r="A11" s="59"/>
      <c r="B11" s="66" t="s">
        <v>624</v>
      </c>
      <c r="C11" s="66"/>
      <c r="D11" s="66"/>
      <c r="E11" s="66"/>
      <c r="F11" s="66"/>
      <c r="G11" s="66"/>
      <c r="H11" s="66"/>
      <c r="I11" s="59"/>
      <c r="J11" s="59"/>
      <c r="K11" s="98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</row>
    <row r="12" s="42" customFormat="1" ht="22.2" customHeight="1" spans="1:36">
      <c r="A12" s="59"/>
      <c r="B12" s="100" t="s">
        <v>645</v>
      </c>
      <c r="C12" s="100"/>
      <c r="D12" s="100"/>
      <c r="E12" s="100"/>
      <c r="F12" s="100"/>
      <c r="G12" s="100"/>
      <c r="H12" s="100"/>
      <c r="I12" s="59"/>
      <c r="J12" s="59"/>
      <c r="K12" s="98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</row>
    <row r="13" s="42" customFormat="1" ht="15" customHeight="1" spans="1:36">
      <c r="A13" s="59"/>
      <c r="B13" s="100"/>
      <c r="C13" s="100"/>
      <c r="D13" s="100"/>
      <c r="E13" s="100"/>
      <c r="F13" s="100"/>
      <c r="G13" s="101" t="s">
        <v>626</v>
      </c>
      <c r="H13" s="101"/>
      <c r="I13" s="59"/>
      <c r="J13" s="59"/>
      <c r="K13" s="98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</row>
    <row r="14" s="85" customFormat="1" ht="40.2" customHeight="1" spans="1:36">
      <c r="A14" s="102"/>
      <c r="B14" s="69" t="s">
        <v>627</v>
      </c>
      <c r="C14" s="69" t="s">
        <v>628</v>
      </c>
      <c r="D14" s="70" t="s">
        <v>629</v>
      </c>
      <c r="E14" s="71" t="s">
        <v>4</v>
      </c>
      <c r="F14" s="72" t="s">
        <v>630</v>
      </c>
      <c r="G14" s="71" t="s">
        <v>5</v>
      </c>
      <c r="H14" s="70" t="s">
        <v>631</v>
      </c>
      <c r="I14" s="102"/>
      <c r="J14" s="102"/>
      <c r="K14" s="103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</row>
    <row r="15" ht="18" customHeight="1" spans="1:36">
      <c r="B15" s="104">
        <v>1</v>
      </c>
      <c r="C15" s="104" t="s">
        <v>8</v>
      </c>
      <c r="D15" s="105" t="str">
        <f>IFERROR(VLOOKUP(C15,'Bảng sản phẩm'!$B$4:$D$981,2,0),0)</f>
        <v>Giấy  Double A A4 ĐL70</v>
      </c>
      <c r="E15" s="105" t="str">
        <f>IFERROR(VLOOKUP(C15,'Bảng sản phẩm'!$B$4:$G$981,3,0),0)</f>
        <v>Ream</v>
      </c>
      <c r="F15" s="106">
        <v>1</v>
      </c>
      <c r="G15" s="107">
        <f>IFERROR(VLOOKUP(C15,'Bảng sản phẩm'!$B$4:$G$981,4,0),0)</f>
        <v>531100</v>
      </c>
      <c r="H15" s="108">
        <f>+F15*G15</f>
        <v>531100</v>
      </c>
    </row>
    <row r="16" ht="18" customHeight="1" spans="1:36">
      <c r="B16" s="104">
        <v>2</v>
      </c>
      <c r="C16" s="104" t="s">
        <v>11</v>
      </c>
      <c r="D16" s="105" t="str">
        <f>IFERROR(VLOOKUP(C16,'Bảng sản phẩm'!$B$4:$D$981,2,0),0)</f>
        <v>Giấy IK Plus  A4 ĐL70</v>
      </c>
      <c r="E16" s="105" t="str">
        <f>IFERROR(VLOOKUP(C16,'Bảng sản phẩm'!$B$4:$G$981,3,0),0)</f>
        <v>Ream</v>
      </c>
      <c r="F16" s="109">
        <v>5</v>
      </c>
      <c r="G16" s="107">
        <f>IFERROR(VLOOKUP(C16,'Bảng sản phẩm'!$B$4:$G$981,4,0),0)</f>
        <v>5564</v>
      </c>
      <c r="H16" s="108">
        <f t="shared" ref="H16:H36" si="0">+F16*G16</f>
        <v>27820</v>
      </c>
    </row>
    <row r="17" ht="18" customHeight="1" spans="2:11">
      <c r="B17" s="104">
        <v>3</v>
      </c>
      <c r="C17" s="104" t="s">
        <v>13</v>
      </c>
      <c r="D17" s="105" t="str">
        <f>IFERROR(VLOOKUP(C17,'Bảng sản phẩm'!$B$4:$D$981,2,0),0)</f>
        <v>Giấy  Paper One A4 ĐL 70</v>
      </c>
      <c r="E17" s="105" t="str">
        <f>IFERROR(VLOOKUP(C17,'Bảng sản phẩm'!$B$4:$G$981,3,0),0)</f>
        <v>Ream</v>
      </c>
      <c r="F17" s="109">
        <v>5</v>
      </c>
      <c r="G17" s="107">
        <f>IFERROR(VLOOKUP(C17,'Bảng sản phẩm'!$B$4:$G$981,4,0),0)</f>
        <v>5564</v>
      </c>
      <c r="H17" s="108">
        <f t="shared" si="0"/>
        <v>27820</v>
      </c>
    </row>
    <row r="18" s="57" customFormat="1" ht="18" customHeight="1" spans="2:11">
      <c r="B18" s="104">
        <v>4</v>
      </c>
      <c r="C18" s="104" t="s">
        <v>15</v>
      </c>
      <c r="D18" s="105" t="str">
        <f>IFERROR(VLOOKUP(C18,'Bảng sản phẩm'!$B$4:$D$981,2,0),0)</f>
        <v>Giấy A4 Acura ĐL 70gsm</v>
      </c>
      <c r="E18" s="105" t="str">
        <f>IFERROR(VLOOKUP(C18,'Bảng sản phẩm'!$B$4:$G$981,3,0),0)</f>
        <v>Ream</v>
      </c>
      <c r="F18" s="109">
        <v>5</v>
      </c>
      <c r="G18" s="107">
        <f>IFERROR(VLOOKUP(C18,'Bảng sản phẩm'!$B$4:$G$981,4,0),0)</f>
        <v>5564</v>
      </c>
      <c r="H18" s="108">
        <f t="shared" si="0"/>
        <v>27820</v>
      </c>
      <c r="K18" s="92"/>
    </row>
    <row r="19" s="57" customFormat="1" ht="18" customHeight="1" spans="2:11">
      <c r="B19" s="104">
        <v>5</v>
      </c>
      <c r="C19" s="104" t="s">
        <v>17</v>
      </c>
      <c r="D19" s="105" t="str">
        <f>IFERROR(VLOOKUP(C19,'Bảng sản phẩm'!$B$4:$D$981,2,0),0)</f>
        <v>Giấy A4 Acura Plus ĐL 70gsm</v>
      </c>
      <c r="E19" s="105" t="str">
        <f>IFERROR(VLOOKUP(C19,'Bảng sản phẩm'!$B$4:$G$981,3,0),0)</f>
        <v>Ream</v>
      </c>
      <c r="F19" s="109">
        <v>5</v>
      </c>
      <c r="G19" s="107">
        <f>IFERROR(VLOOKUP(C19,'Bảng sản phẩm'!$B$4:$G$981,4,0),0)</f>
        <v>5564</v>
      </c>
      <c r="H19" s="108">
        <f t="shared" si="0"/>
        <v>27820</v>
      </c>
      <c r="K19" s="92"/>
    </row>
    <row r="20" s="57" customFormat="1" ht="18" customHeight="1" spans="2:11">
      <c r="B20" s="104">
        <v>6</v>
      </c>
      <c r="C20" s="104" t="s">
        <v>19</v>
      </c>
      <c r="D20" s="105" t="str">
        <f>IFERROR(VLOOKUP(C20,'Bảng sản phẩm'!$B$4:$D$981,2,0),0)</f>
        <v>Giấy A4 Qualiti A4 80/90gms</v>
      </c>
      <c r="E20" s="105" t="str">
        <f>IFERROR(VLOOKUP(C20,'Bảng sản phẩm'!$B$4:$G$981,3,0),0)</f>
        <v>Ream</v>
      </c>
      <c r="F20" s="109">
        <v>5</v>
      </c>
      <c r="G20" s="107">
        <f>IFERROR(VLOOKUP(C20,'Bảng sản phẩm'!$B$4:$G$981,4,0),0)</f>
        <v>5564</v>
      </c>
      <c r="H20" s="108">
        <f t="shared" si="0"/>
        <v>27820</v>
      </c>
      <c r="K20" s="92"/>
    </row>
    <row r="21" s="57" customFormat="1" ht="18" customHeight="1" spans="2:11">
      <c r="B21" s="104">
        <v>7</v>
      </c>
      <c r="C21" s="104" t="s">
        <v>21</v>
      </c>
      <c r="D21" s="105" t="str">
        <f>IFERROR(VLOOKUP(C21,'Bảng sản phẩm'!$B$4:$D$981,2,0),0)</f>
        <v>Giấy A4 IK Copy 65/90</v>
      </c>
      <c r="E21" s="105" t="str">
        <f>IFERROR(VLOOKUP(C21,'Bảng sản phẩm'!$B$4:$G$981,3,0),0)</f>
        <v>Ream</v>
      </c>
      <c r="F21" s="109">
        <v>5</v>
      </c>
      <c r="G21" s="107">
        <f>IFERROR(VLOOKUP(C21,'Bảng sản phẩm'!$B$4:$G$981,4,0),0)</f>
        <v>5564</v>
      </c>
      <c r="H21" s="108">
        <f t="shared" si="0"/>
        <v>27820</v>
      </c>
      <c r="K21" s="92"/>
    </row>
    <row r="22" s="57" customFormat="1" ht="18" customHeight="1" spans="2:11">
      <c r="B22" s="104">
        <v>8</v>
      </c>
      <c r="C22" s="104" t="s">
        <v>23</v>
      </c>
      <c r="D22" s="105" t="str">
        <f>IFERROR(VLOOKUP(C22,'Bảng sản phẩm'!$B$4:$D$981,2,0),0)</f>
        <v>Giấy A4 Copy One A4 80gsm</v>
      </c>
      <c r="E22" s="105" t="str">
        <f>IFERROR(VLOOKUP(C22,'Bảng sản phẩm'!$B$4:$G$981,3,0),0)</f>
        <v>Ream</v>
      </c>
      <c r="F22" s="109">
        <v>5</v>
      </c>
      <c r="G22" s="107">
        <f>IFERROR(VLOOKUP(C22,'Bảng sản phẩm'!$B$4:$G$981,4,0),0)</f>
        <v>5564</v>
      </c>
      <c r="H22" s="108">
        <f t="shared" si="0"/>
        <v>27820</v>
      </c>
      <c r="K22" s="92"/>
    </row>
    <row r="23" s="57" customFormat="1" ht="18" customHeight="1" spans="2:11">
      <c r="B23" s="104">
        <v>9</v>
      </c>
      <c r="C23" s="104" t="s">
        <v>25</v>
      </c>
      <c r="D23" s="105" t="str">
        <f>IFERROR(VLOOKUP(C23,'Bảng sản phẩm'!$B$4:$D$981,2,0),0)</f>
        <v>Giấy Smartis A4</v>
      </c>
      <c r="E23" s="105" t="str">
        <f>IFERROR(VLOOKUP(C23,'Bảng sản phẩm'!$B$4:$G$981,3,0),0)</f>
        <v>Ream</v>
      </c>
      <c r="F23" s="109">
        <v>5</v>
      </c>
      <c r="G23" s="107">
        <f>IFERROR(VLOOKUP(C23,'Bảng sản phẩm'!$B$4:$G$981,4,0),0)</f>
        <v>5564</v>
      </c>
      <c r="H23" s="108">
        <f t="shared" si="0"/>
        <v>27820</v>
      </c>
      <c r="K23" s="92"/>
    </row>
    <row r="24" s="57" customFormat="1" ht="18" customHeight="1" spans="2:11">
      <c r="B24" s="104">
        <v>10</v>
      </c>
      <c r="C24" s="104" t="s">
        <v>27</v>
      </c>
      <c r="D24" s="105" t="str">
        <f>IFERROR(VLOOKUP(C24,'Bảng sản phẩm'!$B$4:$D$981,2,0),0)</f>
        <v>Giấy quality A4 ĐL 70</v>
      </c>
      <c r="E24" s="105" t="str">
        <f>IFERROR(VLOOKUP(C24,'Bảng sản phẩm'!$B$4:$G$981,3,0),0)</f>
        <v>Ream</v>
      </c>
      <c r="F24" s="109">
        <v>5</v>
      </c>
      <c r="G24" s="107">
        <f>IFERROR(VLOOKUP(C24,'Bảng sản phẩm'!$B$4:$G$981,4,0),0)</f>
        <v>0</v>
      </c>
      <c r="H24" s="108">
        <f t="shared" si="0"/>
        <v>0</v>
      </c>
      <c r="K24" s="92"/>
    </row>
    <row r="25" s="57" customFormat="1" ht="18" customHeight="1" spans="2:11">
      <c r="B25" s="104">
        <v>11</v>
      </c>
      <c r="C25" s="104" t="s">
        <v>29</v>
      </c>
      <c r="D25" s="105" t="str">
        <f>IFERROR(VLOOKUP(C25,'Bảng sản phẩm'!$B$4:$D$981,2,0),0)</f>
        <v>Giấy Green Pine A4 70gms</v>
      </c>
      <c r="E25" s="105" t="str">
        <f>IFERROR(VLOOKUP(C25,'Bảng sản phẩm'!$B$4:$G$981,3,0),0)</f>
        <v>Ream</v>
      </c>
      <c r="F25" s="109">
        <v>5</v>
      </c>
      <c r="G25" s="107">
        <f>IFERROR(VLOOKUP(C25,'Bảng sản phẩm'!$B$4:$G$981,4,0),0)</f>
        <v>0</v>
      </c>
      <c r="H25" s="108">
        <f t="shared" si="0"/>
        <v>0</v>
      </c>
      <c r="K25" s="92"/>
    </row>
    <row r="26" s="57" customFormat="1" ht="18" customHeight="1" spans="2:11">
      <c r="B26" s="104">
        <v>12</v>
      </c>
      <c r="C26" s="104" t="s">
        <v>31</v>
      </c>
      <c r="D26" s="105" t="str">
        <f>IFERROR(VLOOKUP(C26,'Bảng sản phẩm'!$B$4:$D$981,2,0),0)</f>
        <v>Giấy IK one A4 70/90</v>
      </c>
      <c r="E26" s="105" t="str">
        <f>IFERROR(VLOOKUP(C26,'Bảng sản phẩm'!$B$4:$G$981,3,0),0)</f>
        <v>Ream</v>
      </c>
      <c r="F26" s="109">
        <v>5</v>
      </c>
      <c r="G26" s="107">
        <f>IFERROR(VLOOKUP(C26,'Bảng sản phẩm'!$B$4:$G$981,4,0),0)</f>
        <v>0</v>
      </c>
      <c r="H26" s="108">
        <f t="shared" si="0"/>
        <v>0</v>
      </c>
      <c r="K26" s="92"/>
    </row>
    <row r="27" s="57" customFormat="1" ht="18" customHeight="1" spans="2:11">
      <c r="B27" s="104">
        <v>13</v>
      </c>
      <c r="C27" s="104"/>
      <c r="D27" s="105">
        <f>IFERROR(VLOOKUP(C27,'Bảng sản phẩm'!$B$4:$D$981,2,0),0)</f>
        <v>0</v>
      </c>
      <c r="E27" s="105">
        <f>IFERROR(VLOOKUP(C27,'Bảng sản phẩm'!$B$4:$G$981,3,0),0)</f>
        <v>0</v>
      </c>
      <c r="F27" s="109">
        <v>5</v>
      </c>
      <c r="G27" s="107">
        <f>IFERROR(VLOOKUP(C27,'Bảng sản phẩm'!$B$4:$G$981,4,0),0)</f>
        <v>0</v>
      </c>
      <c r="H27" s="108">
        <f t="shared" si="0"/>
        <v>0</v>
      </c>
      <c r="K27" s="92"/>
    </row>
    <row r="28" s="57" customFormat="1" ht="18" customHeight="1" spans="2:11">
      <c r="B28" s="104">
        <v>14</v>
      </c>
      <c r="C28" s="104"/>
      <c r="D28" s="105">
        <f>IFERROR(VLOOKUP(C28,'Bảng sản phẩm'!$B$4:$D$981,2,0),0)</f>
        <v>0</v>
      </c>
      <c r="E28" s="105">
        <f>IFERROR(VLOOKUP(C28,'Bảng sản phẩm'!$B$4:$G$981,3,0),0)</f>
        <v>0</v>
      </c>
      <c r="F28" s="109">
        <v>5</v>
      </c>
      <c r="G28" s="107">
        <f>IFERROR(VLOOKUP(C28,'Bảng sản phẩm'!$B$4:$G$981,4,0),0)</f>
        <v>0</v>
      </c>
      <c r="H28" s="108">
        <f t="shared" si="0"/>
        <v>0</v>
      </c>
      <c r="K28" s="92"/>
    </row>
    <row r="29" s="57" customFormat="1" ht="18" customHeight="1" spans="2:11">
      <c r="B29" s="104">
        <v>15</v>
      </c>
      <c r="C29" s="104"/>
      <c r="D29" s="105">
        <f>IFERROR(VLOOKUP(C29,'Bảng sản phẩm'!$B$4:$D$981,2,0),0)</f>
        <v>0</v>
      </c>
      <c r="E29" s="105">
        <f>IFERROR(VLOOKUP(C29,'Bảng sản phẩm'!$B$4:$G$981,3,0),0)</f>
        <v>0</v>
      </c>
      <c r="F29" s="109">
        <v>5</v>
      </c>
      <c r="G29" s="107">
        <f>IFERROR(VLOOKUP(C29,'Bảng sản phẩm'!$B$4:$G$981,4,0),0)</f>
        <v>0</v>
      </c>
      <c r="H29" s="108">
        <f t="shared" si="0"/>
        <v>0</v>
      </c>
      <c r="K29" s="92"/>
    </row>
    <row r="30" s="57" customFormat="1" ht="18" customHeight="1" spans="2:11">
      <c r="B30" s="104">
        <v>16</v>
      </c>
      <c r="C30" s="104"/>
      <c r="D30" s="105">
        <f>IFERROR(VLOOKUP(C30,'Bảng sản phẩm'!$B$4:$D$981,2,0),0)</f>
        <v>0</v>
      </c>
      <c r="E30" s="105">
        <f>IFERROR(VLOOKUP(C30,'Bảng sản phẩm'!$B$4:$G$981,3,0),0)</f>
        <v>0</v>
      </c>
      <c r="F30" s="109"/>
      <c r="G30" s="107">
        <f>IFERROR(VLOOKUP(C30,'Bảng sản phẩm'!$B$4:$G$981,4,0),0)</f>
        <v>0</v>
      </c>
      <c r="H30" s="108">
        <f t="shared" si="0"/>
        <v>0</v>
      </c>
      <c r="K30" s="92"/>
    </row>
    <row r="31" s="57" customFormat="1" ht="18" customHeight="1" spans="2:11">
      <c r="B31" s="104">
        <v>17</v>
      </c>
      <c r="C31" s="104"/>
      <c r="D31" s="105">
        <f>IFERROR(VLOOKUP(C31,'Bảng sản phẩm'!$B$4:$D$981,2,0),0)</f>
        <v>0</v>
      </c>
      <c r="E31" s="105">
        <f>IFERROR(VLOOKUP(C31,'Bảng sản phẩm'!$B$4:$G$981,3,0),0)</f>
        <v>0</v>
      </c>
      <c r="F31" s="109"/>
      <c r="G31" s="107">
        <f>IFERROR(VLOOKUP(C31,'Bảng sản phẩm'!$B$4:$G$981,4,0),0)</f>
        <v>0</v>
      </c>
      <c r="H31" s="108">
        <f t="shared" si="0"/>
        <v>0</v>
      </c>
      <c r="K31" s="92"/>
    </row>
    <row r="32" s="57" customFormat="1" ht="18" customHeight="1" spans="2:11">
      <c r="B32" s="104">
        <v>18</v>
      </c>
      <c r="C32" s="104"/>
      <c r="D32" s="105">
        <f>IFERROR(VLOOKUP(C32,'Bảng sản phẩm'!$B$4:$D$981,2,0),0)</f>
        <v>0</v>
      </c>
      <c r="E32" s="105">
        <f>IFERROR(VLOOKUP(C32,'Bảng sản phẩm'!$B$4:$G$981,3,0),0)</f>
        <v>0</v>
      </c>
      <c r="F32" s="109"/>
      <c r="G32" s="107">
        <f>IFERROR(VLOOKUP(C32,'Bảng sản phẩm'!$B$4:$G$981,4,0),0)</f>
        <v>0</v>
      </c>
      <c r="H32" s="108">
        <f t="shared" si="0"/>
        <v>0</v>
      </c>
      <c r="K32" s="92"/>
    </row>
    <row r="33" s="57" customFormat="1" ht="18" customHeight="1" spans="1:36">
      <c r="B33" s="104">
        <v>19</v>
      </c>
      <c r="C33" s="104"/>
      <c r="D33" s="105">
        <f>IFERROR(VLOOKUP(C33,'Bảng sản phẩm'!$B$4:$D$981,2,0),0)</f>
        <v>0</v>
      </c>
      <c r="E33" s="105">
        <f>IFERROR(VLOOKUP(C33,'Bảng sản phẩm'!$B$4:$G$981,3,0),0)</f>
        <v>0</v>
      </c>
      <c r="F33" s="109"/>
      <c r="G33" s="107">
        <f>IFERROR(VLOOKUP(C33,'Bảng sản phẩm'!$B$4:$G$981,4,0),0)</f>
        <v>0</v>
      </c>
      <c r="H33" s="108">
        <f t="shared" si="0"/>
        <v>0</v>
      </c>
      <c r="K33" s="92"/>
    </row>
    <row r="34" ht="18" customHeight="1" spans="1:36">
      <c r="B34" s="104">
        <v>20</v>
      </c>
      <c r="C34" s="104"/>
      <c r="D34" s="105">
        <f>IFERROR(VLOOKUP(C34,'Bảng sản phẩm'!$B$4:$D$981,2,0),0)</f>
        <v>0</v>
      </c>
      <c r="E34" s="105">
        <f>IFERROR(VLOOKUP(C34,'Bảng sản phẩm'!$B$4:$G$981,3,0),0)</f>
        <v>0</v>
      </c>
      <c r="F34" s="109"/>
      <c r="G34" s="107">
        <f>IFERROR(VLOOKUP(C34,'Bảng sản phẩm'!$B$4:$G$981,4,0),0)</f>
        <v>0</v>
      </c>
      <c r="H34" s="108">
        <f t="shared" si="0"/>
        <v>0</v>
      </c>
    </row>
    <row r="35" ht="18" customHeight="1" spans="1:36">
      <c r="B35" s="104">
        <v>21</v>
      </c>
      <c r="C35" s="104"/>
      <c r="D35" s="105">
        <f>IFERROR(VLOOKUP(C35,'Bảng sản phẩm'!$B$4:$D$981,2,0),0)</f>
        <v>0</v>
      </c>
      <c r="E35" s="105">
        <f>IFERROR(VLOOKUP(C35,'Bảng sản phẩm'!$B$4:$G$981,3,0),0)</f>
        <v>0</v>
      </c>
      <c r="F35" s="109"/>
      <c r="G35" s="107">
        <f>IFERROR(VLOOKUP(C35,'Bảng sản phẩm'!$B$4:$G$981,4,0),0)</f>
        <v>0</v>
      </c>
      <c r="H35" s="108">
        <f t="shared" si="0"/>
        <v>0</v>
      </c>
    </row>
    <row r="36" ht="18" customHeight="1" spans="1:36">
      <c r="B36" s="104">
        <v>22</v>
      </c>
      <c r="C36" s="104"/>
      <c r="D36" s="110"/>
      <c r="E36" s="105">
        <f>IFERROR(VLOOKUP(C36,'Bảng sản phẩm'!$B$4:$G$981,3,0),0)</f>
        <v>0</v>
      </c>
      <c r="F36" s="109"/>
      <c r="G36" s="107">
        <f>IFERROR(VLOOKUP(C36,'Bảng sản phẩm'!$B$4:$G$981,4,0),0)</f>
        <v>0</v>
      </c>
      <c r="H36" s="108">
        <f t="shared" si="0"/>
        <v>0</v>
      </c>
    </row>
    <row r="37" s="85" customFormat="1" ht="18" customHeight="1" spans="1:36">
      <c r="A37" s="102"/>
      <c r="B37" s="111" t="s">
        <v>632</v>
      </c>
      <c r="C37" s="112"/>
      <c r="D37" s="112"/>
      <c r="E37" s="112"/>
      <c r="F37" s="112"/>
      <c r="G37" s="113"/>
      <c r="H37" s="71">
        <f>SUM(H15:H36)</f>
        <v>753660</v>
      </c>
      <c r="I37" s="102"/>
      <c r="J37" s="114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</row>
    <row r="38" s="85" customFormat="1" ht="18" customHeight="1" spans="1:36">
      <c r="A38" s="102"/>
      <c r="B38" s="111" t="s">
        <v>633</v>
      </c>
      <c r="C38" s="112"/>
      <c r="D38" s="115">
        <v>0.08</v>
      </c>
      <c r="E38" s="116"/>
      <c r="F38" s="116"/>
      <c r="G38" s="117"/>
      <c r="H38" s="71">
        <f>+H37*D38</f>
        <v>60292.8</v>
      </c>
      <c r="I38" s="102"/>
      <c r="J38" s="114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</row>
    <row r="39" s="85" customFormat="1" ht="18" customHeight="1" spans="1:36">
      <c r="A39" s="102"/>
      <c r="B39" s="111" t="s">
        <v>634</v>
      </c>
      <c r="C39" s="112"/>
      <c r="D39" s="112"/>
      <c r="E39" s="112"/>
      <c r="F39" s="112"/>
      <c r="G39" s="113"/>
      <c r="H39" s="71">
        <f>+H38+H37</f>
        <v>813952.8</v>
      </c>
      <c r="I39" s="102"/>
      <c r="J39" s="114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</row>
    <row r="40" s="57" customFormat="1" spans="1:36">
      <c r="B40" s="111" t="s">
        <v>635</v>
      </c>
      <c r="C40" s="112"/>
      <c r="D40" s="116" t="str" cm="1">
        <f t="array" ref="D40">[1]!vnd(H39)</f>
        <v>Tám trăm mười ba nghìn, chín trăm năm mươi ba đồng chẵn.</v>
      </c>
      <c r="E40" s="116"/>
      <c r="F40" s="116"/>
      <c r="G40" s="116"/>
      <c r="H40" s="117"/>
      <c r="I40" s="118"/>
      <c r="K40" s="92"/>
    </row>
    <row r="41" s="57" customFormat="1" spans="1:36">
      <c r="B41" s="119" t="s">
        <v>636</v>
      </c>
      <c r="C41" s="119"/>
      <c r="D41" s="120"/>
      <c r="E41" s="121"/>
      <c r="F41" s="122"/>
      <c r="G41" s="123"/>
      <c r="H41" s="124"/>
      <c r="K41" s="92"/>
    </row>
    <row r="42" s="57" customFormat="1" spans="1:36">
      <c r="B42" s="125" t="s">
        <v>637</v>
      </c>
      <c r="C42" s="125"/>
      <c r="D42" s="125"/>
      <c r="E42" s="125"/>
      <c r="F42" s="125"/>
      <c r="G42" s="125"/>
      <c r="H42" s="125"/>
      <c r="K42" s="92"/>
    </row>
    <row r="43" s="57" customFormat="1" spans="1:36">
      <c r="B43" s="126" t="s">
        <v>640</v>
      </c>
      <c r="C43" s="126"/>
      <c r="D43" s="126"/>
      <c r="E43" s="126"/>
      <c r="F43" s="126"/>
      <c r="G43" s="126"/>
      <c r="H43" s="126"/>
      <c r="K43" s="92"/>
    </row>
    <row r="44" s="57" customFormat="1" ht="36" customHeight="1" spans="1:36">
      <c r="B44" s="127" t="s">
        <v>646</v>
      </c>
      <c r="C44" s="128"/>
      <c r="D44" s="120"/>
      <c r="F44" s="129"/>
      <c r="G44" s="130"/>
      <c r="H44" s="124"/>
      <c r="K44" s="92"/>
    </row>
    <row r="45" s="57" customFormat="1" spans="1:36">
      <c r="B45" s="131" t="s">
        <v>647</v>
      </c>
      <c r="C45" s="132"/>
      <c r="D45" s="133"/>
      <c r="E45" s="134"/>
      <c r="F45" s="122"/>
      <c r="G45" s="130"/>
      <c r="H45" s="124"/>
      <c r="K45" s="92"/>
    </row>
    <row r="46" s="57" customFormat="1" spans="1:36">
      <c r="B46" s="130"/>
      <c r="C46" s="135"/>
      <c r="D46" s="136"/>
      <c r="E46" s="137"/>
      <c r="F46" s="122"/>
      <c r="G46" s="130"/>
      <c r="H46" s="124"/>
      <c r="K46" s="92"/>
    </row>
    <row r="47" s="57" customFormat="1" spans="1:36">
      <c r="B47" s="52"/>
      <c r="C47" s="138"/>
      <c r="D47" s="139"/>
      <c r="E47" s="140"/>
      <c r="F47" s="141"/>
      <c r="G47" s="124"/>
      <c r="H47" s="124"/>
      <c r="K47" s="92"/>
    </row>
    <row r="48" s="57" customFormat="1" spans="1:36">
      <c r="B48" s="52"/>
      <c r="C48" s="138"/>
      <c r="D48" s="139"/>
      <c r="E48" s="140"/>
      <c r="F48" s="141"/>
      <c r="G48" s="124"/>
      <c r="H48" s="124"/>
      <c r="K48" s="92"/>
    </row>
    <row r="49" s="57" customFormat="1" spans="2:11">
      <c r="B49" s="52"/>
      <c r="C49" s="138"/>
      <c r="D49" s="139"/>
      <c r="E49" s="140"/>
      <c r="F49" s="141"/>
      <c r="G49" s="124"/>
      <c r="H49" s="124"/>
      <c r="K49" s="92"/>
    </row>
    <row r="50" s="57" customFormat="1" spans="2:11">
      <c r="B50" s="52"/>
      <c r="C50" s="138"/>
      <c r="D50" s="139"/>
      <c r="E50" s="140"/>
      <c r="F50" s="141"/>
      <c r="G50" s="124"/>
      <c r="H50" s="124"/>
      <c r="K50" s="92"/>
    </row>
    <row r="51" s="57" customFormat="1" spans="2:11">
      <c r="B51" s="52"/>
      <c r="C51" s="138"/>
      <c r="D51" s="139"/>
      <c r="E51" s="140"/>
      <c r="F51" s="141"/>
      <c r="G51" s="124"/>
      <c r="H51" s="124"/>
      <c r="K51" s="92"/>
    </row>
    <row r="52" s="57" customFormat="1" spans="2:11">
      <c r="B52" s="52"/>
      <c r="C52" s="138"/>
      <c r="D52" s="139"/>
      <c r="E52" s="140"/>
      <c r="F52" s="141"/>
      <c r="G52" s="124"/>
      <c r="H52" s="124"/>
      <c r="K52" s="92"/>
    </row>
    <row r="53" s="57" customFormat="1" spans="2:11">
      <c r="B53" s="52"/>
      <c r="C53" s="138"/>
      <c r="D53" s="139"/>
      <c r="E53" s="140"/>
      <c r="F53" s="141"/>
      <c r="G53" s="124"/>
      <c r="H53" s="124"/>
      <c r="K53" s="92"/>
    </row>
    <row r="54" s="57" customFormat="1" spans="2:11">
      <c r="B54" s="52"/>
      <c r="C54" s="138"/>
      <c r="D54" s="139"/>
      <c r="E54" s="140"/>
      <c r="F54" s="141"/>
      <c r="G54" s="124"/>
      <c r="H54" s="124"/>
      <c r="K54" s="92"/>
    </row>
    <row r="55" s="57" customFormat="1" spans="2:11">
      <c r="B55" s="52"/>
      <c r="C55" s="138"/>
      <c r="D55" s="139"/>
      <c r="E55" s="140"/>
      <c r="F55" s="141"/>
      <c r="G55" s="124"/>
      <c r="H55" s="124"/>
      <c r="K55" s="92"/>
    </row>
    <row r="56" s="57" customFormat="1" spans="2:11">
      <c r="B56" s="52"/>
      <c r="C56" s="138"/>
      <c r="D56" s="139"/>
      <c r="E56" s="140"/>
      <c r="F56" s="141"/>
      <c r="G56" s="124"/>
      <c r="H56" s="124"/>
      <c r="K56" s="92"/>
    </row>
    <row r="57" s="57" customFormat="1" spans="2:11">
      <c r="B57" s="52"/>
      <c r="C57" s="138"/>
      <c r="D57" s="139"/>
      <c r="E57" s="140"/>
      <c r="F57" s="141"/>
      <c r="G57" s="124"/>
      <c r="H57" s="124"/>
      <c r="K57" s="92"/>
    </row>
    <row r="58" s="57" customFormat="1" spans="2:11">
      <c r="B58" s="52"/>
      <c r="C58" s="138"/>
      <c r="D58" s="139"/>
      <c r="E58" s="140"/>
      <c r="F58" s="141"/>
      <c r="G58" s="124"/>
      <c r="H58" s="124"/>
      <c r="K58" s="92"/>
    </row>
    <row r="59" s="57" customFormat="1" spans="2:11">
      <c r="B59" s="52"/>
      <c r="C59" s="138"/>
      <c r="D59" s="139"/>
      <c r="E59" s="140"/>
      <c r="F59" s="141"/>
      <c r="G59" s="124"/>
      <c r="H59" s="124"/>
      <c r="K59" s="92"/>
    </row>
    <row r="60" s="57" customFormat="1" spans="2:11">
      <c r="B60" s="52"/>
      <c r="C60" s="138"/>
      <c r="D60" s="139"/>
      <c r="E60" s="140"/>
      <c r="F60" s="141"/>
      <c r="G60" s="124"/>
      <c r="H60" s="124"/>
      <c r="K60" s="92"/>
    </row>
    <row r="61" s="57" customFormat="1" spans="2:11">
      <c r="B61" s="52"/>
      <c r="C61" s="138"/>
      <c r="D61" s="139"/>
      <c r="E61" s="140"/>
      <c r="F61" s="141"/>
      <c r="G61" s="124"/>
      <c r="H61" s="124"/>
      <c r="K61" s="92"/>
    </row>
    <row r="62" s="57" customFormat="1" spans="2:11">
      <c r="B62" s="52"/>
      <c r="C62" s="138"/>
      <c r="D62" s="139"/>
      <c r="E62" s="140"/>
      <c r="F62" s="141"/>
      <c r="G62" s="124"/>
      <c r="H62" s="124"/>
      <c r="K62" s="92"/>
    </row>
    <row r="63" s="57" customFormat="1" spans="2:11">
      <c r="B63" s="52"/>
      <c r="C63" s="138"/>
      <c r="D63" s="139"/>
      <c r="E63" s="140"/>
      <c r="F63" s="141"/>
      <c r="G63" s="124"/>
      <c r="H63" s="124"/>
      <c r="K63" s="92"/>
    </row>
    <row r="64" s="57" customFormat="1" spans="2:11">
      <c r="B64" s="52"/>
      <c r="C64" s="138"/>
      <c r="D64" s="139"/>
      <c r="E64" s="140"/>
      <c r="F64" s="141"/>
      <c r="G64" s="124"/>
      <c r="H64" s="124"/>
      <c r="K64" s="92"/>
    </row>
    <row r="65" s="57" customFormat="1" spans="2:11">
      <c r="B65" s="52"/>
      <c r="C65" s="138"/>
      <c r="D65" s="139"/>
      <c r="E65" s="140"/>
      <c r="F65" s="141"/>
      <c r="G65" s="124"/>
      <c r="H65" s="124"/>
      <c r="K65" s="92"/>
    </row>
    <row r="66" s="57" customFormat="1" spans="2:11">
      <c r="B66" s="52"/>
      <c r="C66" s="138"/>
      <c r="D66" s="139"/>
      <c r="E66" s="140"/>
      <c r="F66" s="141"/>
      <c r="G66" s="124"/>
      <c r="H66" s="124"/>
      <c r="K66" s="92"/>
    </row>
    <row r="67" s="57" customFormat="1" spans="2:11">
      <c r="B67" s="52"/>
      <c r="C67" s="138"/>
      <c r="D67" s="139"/>
      <c r="E67" s="140"/>
      <c r="F67" s="141"/>
      <c r="G67" s="124"/>
      <c r="H67" s="124"/>
      <c r="K67" s="92"/>
    </row>
    <row r="68" s="57" customFormat="1" spans="2:11">
      <c r="B68" s="52"/>
      <c r="C68" s="138"/>
      <c r="D68" s="139"/>
      <c r="E68" s="140"/>
      <c r="F68" s="141"/>
      <c r="G68" s="124"/>
      <c r="H68" s="124"/>
      <c r="K68" s="92"/>
    </row>
    <row r="69" s="57" customFormat="1" spans="2:11">
      <c r="B69" s="52"/>
      <c r="C69" s="138"/>
      <c r="D69" s="139"/>
      <c r="E69" s="140"/>
      <c r="F69" s="141"/>
      <c r="G69" s="124"/>
      <c r="H69" s="124"/>
      <c r="K69" s="92"/>
    </row>
    <row r="70" s="57" customFormat="1" spans="2:11">
      <c r="B70" s="52"/>
      <c r="C70" s="138"/>
      <c r="D70" s="139"/>
      <c r="E70" s="140"/>
      <c r="F70" s="141"/>
      <c r="G70" s="124"/>
      <c r="H70" s="124"/>
      <c r="K70" s="92"/>
    </row>
    <row r="71" s="57" customFormat="1" spans="2:11">
      <c r="B71" s="52"/>
      <c r="C71" s="138"/>
      <c r="D71" s="139"/>
      <c r="E71" s="140"/>
      <c r="F71" s="141"/>
      <c r="G71" s="124"/>
      <c r="H71" s="124"/>
      <c r="K71" s="92"/>
    </row>
    <row r="72" s="57" customFormat="1" spans="2:11">
      <c r="B72" s="52"/>
      <c r="C72" s="138"/>
      <c r="D72" s="139"/>
      <c r="E72" s="140"/>
      <c r="F72" s="141"/>
      <c r="G72" s="124"/>
      <c r="H72" s="124"/>
      <c r="K72" s="92"/>
    </row>
    <row r="73" s="57" customFormat="1" spans="2:11">
      <c r="B73" s="52"/>
      <c r="C73" s="138"/>
      <c r="D73" s="139"/>
      <c r="E73" s="140"/>
      <c r="F73" s="141"/>
      <c r="G73" s="124"/>
      <c r="H73" s="124"/>
      <c r="K73" s="92"/>
    </row>
    <row r="74" s="57" customFormat="1" spans="2:11">
      <c r="B74" s="52"/>
      <c r="C74" s="138"/>
      <c r="D74" s="139"/>
      <c r="E74" s="140"/>
      <c r="F74" s="141"/>
      <c r="G74" s="124"/>
      <c r="H74" s="124"/>
      <c r="K74" s="92"/>
    </row>
    <row r="75" s="57" customFormat="1" spans="2:11">
      <c r="B75" s="52"/>
      <c r="C75" s="138"/>
      <c r="D75" s="139"/>
      <c r="E75" s="140"/>
      <c r="F75" s="141"/>
      <c r="G75" s="124"/>
      <c r="H75" s="124"/>
      <c r="K75" s="92"/>
    </row>
    <row r="76" s="57" customFormat="1" spans="2:11">
      <c r="B76" s="52"/>
      <c r="C76" s="138"/>
      <c r="D76" s="139"/>
      <c r="E76" s="140"/>
      <c r="F76" s="141"/>
      <c r="G76" s="124"/>
      <c r="H76" s="124"/>
      <c r="K76" s="92"/>
    </row>
    <row r="77" s="57" customFormat="1" spans="2:11">
      <c r="B77" s="52"/>
      <c r="C77" s="138"/>
      <c r="D77" s="139"/>
      <c r="E77" s="140"/>
      <c r="F77" s="141"/>
      <c r="G77" s="124"/>
      <c r="H77" s="124"/>
      <c r="K77" s="92"/>
    </row>
    <row r="78" s="57" customFormat="1" spans="2:11">
      <c r="B78" s="52"/>
      <c r="C78" s="138"/>
      <c r="D78" s="139"/>
      <c r="E78" s="140"/>
      <c r="F78" s="141"/>
      <c r="G78" s="124"/>
      <c r="H78" s="124"/>
      <c r="K78" s="92"/>
    </row>
    <row r="79" s="57" customFormat="1" spans="2:11">
      <c r="B79" s="52"/>
      <c r="C79" s="138"/>
      <c r="D79" s="139"/>
      <c r="E79" s="140"/>
      <c r="F79" s="141"/>
      <c r="G79" s="124"/>
      <c r="H79" s="124"/>
      <c r="K79" s="92"/>
    </row>
    <row r="80" s="57" customFormat="1" spans="2:11">
      <c r="B80" s="52"/>
      <c r="C80" s="138"/>
      <c r="D80" s="139"/>
      <c r="E80" s="140"/>
      <c r="F80" s="141"/>
      <c r="G80" s="124"/>
      <c r="H80" s="124"/>
      <c r="K80" s="92"/>
    </row>
    <row r="81" s="57" customFormat="1" spans="2:11">
      <c r="B81" s="52"/>
      <c r="C81" s="138"/>
      <c r="D81" s="139"/>
      <c r="E81" s="140"/>
      <c r="F81" s="141"/>
      <c r="G81" s="124"/>
      <c r="H81" s="124"/>
      <c r="K81" s="92"/>
    </row>
    <row r="82" s="57" customFormat="1" spans="2:11">
      <c r="B82" s="52"/>
      <c r="C82" s="138"/>
      <c r="D82" s="139"/>
      <c r="E82" s="140"/>
      <c r="F82" s="141"/>
      <c r="G82" s="124"/>
      <c r="H82" s="124"/>
      <c r="K82" s="92"/>
    </row>
    <row r="83" s="57" customFormat="1" spans="2:11">
      <c r="B83" s="52"/>
      <c r="C83" s="138"/>
      <c r="D83" s="139"/>
      <c r="E83" s="140"/>
      <c r="F83" s="141"/>
      <c r="G83" s="124"/>
      <c r="H83" s="124"/>
      <c r="K83" s="92"/>
    </row>
    <row r="84" s="57" customFormat="1" spans="2:11">
      <c r="B84" s="52"/>
      <c r="C84" s="138"/>
      <c r="D84" s="139"/>
      <c r="E84" s="140"/>
      <c r="F84" s="141"/>
      <c r="G84" s="124"/>
      <c r="H84" s="124"/>
      <c r="K84" s="92"/>
    </row>
    <row r="85" s="57" customFormat="1" spans="2:11">
      <c r="B85" s="52"/>
      <c r="C85" s="138"/>
      <c r="D85" s="139"/>
      <c r="E85" s="140"/>
      <c r="F85" s="141"/>
      <c r="G85" s="124"/>
      <c r="H85" s="124"/>
      <c r="K85" s="92"/>
    </row>
    <row r="86" s="57" customFormat="1" spans="2:11">
      <c r="B86" s="52"/>
      <c r="C86" s="138"/>
      <c r="D86" s="139"/>
      <c r="E86" s="140"/>
      <c r="F86" s="141"/>
      <c r="G86" s="124"/>
      <c r="H86" s="124"/>
      <c r="K86" s="92"/>
    </row>
    <row r="87" s="57" customFormat="1" spans="2:11">
      <c r="B87" s="52"/>
      <c r="C87" s="138"/>
      <c r="D87" s="139"/>
      <c r="E87" s="140"/>
      <c r="F87" s="141"/>
      <c r="G87" s="124"/>
      <c r="H87" s="124"/>
      <c r="K87" s="92"/>
    </row>
    <row r="88" s="57" customFormat="1" spans="2:11">
      <c r="B88" s="52"/>
      <c r="C88" s="138"/>
      <c r="D88" s="139"/>
      <c r="E88" s="140"/>
      <c r="F88" s="141"/>
      <c r="G88" s="124"/>
      <c r="H88" s="124"/>
      <c r="K88" s="92"/>
    </row>
    <row r="89" s="57" customFormat="1" spans="2:11">
      <c r="B89" s="52"/>
      <c r="C89" s="138"/>
      <c r="D89" s="139"/>
      <c r="E89" s="140"/>
      <c r="F89" s="141"/>
      <c r="G89" s="124"/>
      <c r="H89" s="124"/>
      <c r="K89" s="92"/>
    </row>
    <row r="90" s="57" customFormat="1" spans="2:11">
      <c r="B90" s="52"/>
      <c r="C90" s="138"/>
      <c r="D90" s="139"/>
      <c r="E90" s="140"/>
      <c r="F90" s="141"/>
      <c r="G90" s="124"/>
      <c r="H90" s="124"/>
      <c r="K90" s="92"/>
    </row>
    <row r="91" s="57" customFormat="1" spans="2:11">
      <c r="B91" s="52"/>
      <c r="C91" s="138"/>
      <c r="D91" s="139"/>
      <c r="E91" s="140"/>
      <c r="F91" s="141"/>
      <c r="G91" s="124"/>
      <c r="H91" s="124"/>
      <c r="K91" s="92"/>
    </row>
    <row r="92" s="57" customFormat="1" spans="2:11">
      <c r="B92" s="52"/>
      <c r="C92" s="138"/>
      <c r="D92" s="139"/>
      <c r="E92" s="140"/>
      <c r="F92" s="141"/>
      <c r="G92" s="124"/>
      <c r="H92" s="124"/>
      <c r="K92" s="92"/>
    </row>
    <row r="93" s="57" customFormat="1" spans="2:11">
      <c r="B93" s="52"/>
      <c r="C93" s="138"/>
      <c r="D93" s="139"/>
      <c r="E93" s="140"/>
      <c r="F93" s="141"/>
      <c r="G93" s="124"/>
      <c r="H93" s="124"/>
      <c r="K93" s="92"/>
    </row>
    <row r="94" s="57" customFormat="1" spans="2:11">
      <c r="B94" s="52"/>
      <c r="C94" s="138"/>
      <c r="D94" s="139"/>
      <c r="E94" s="140"/>
      <c r="F94" s="141"/>
      <c r="G94" s="124"/>
      <c r="H94" s="124"/>
      <c r="K94" s="92"/>
    </row>
    <row r="95" s="57" customFormat="1" spans="2:11">
      <c r="B95" s="52"/>
      <c r="C95" s="138"/>
      <c r="D95" s="139"/>
      <c r="E95" s="140"/>
      <c r="F95" s="141"/>
      <c r="G95" s="124"/>
      <c r="H95" s="124"/>
      <c r="K95" s="92"/>
    </row>
    <row r="96" s="57" customFormat="1" spans="2:11">
      <c r="B96" s="52"/>
      <c r="C96" s="138"/>
      <c r="D96" s="139"/>
      <c r="E96" s="140"/>
      <c r="F96" s="141"/>
      <c r="G96" s="124"/>
      <c r="H96" s="124"/>
      <c r="K96" s="92"/>
    </row>
    <row r="97" s="57" customFormat="1" spans="2:11">
      <c r="B97" s="52"/>
      <c r="C97" s="138"/>
      <c r="D97" s="139"/>
      <c r="E97" s="140"/>
      <c r="F97" s="141"/>
      <c r="G97" s="124"/>
      <c r="H97" s="124"/>
      <c r="K97" s="92"/>
    </row>
    <row r="98" s="57" customFormat="1" spans="2:11">
      <c r="B98" s="52"/>
      <c r="C98" s="138"/>
      <c r="D98" s="139"/>
      <c r="E98" s="140"/>
      <c r="F98" s="141"/>
      <c r="G98" s="124"/>
      <c r="H98" s="124"/>
      <c r="K98" s="92"/>
    </row>
    <row r="99" s="57" customFormat="1" spans="2:11">
      <c r="B99" s="52"/>
      <c r="C99" s="138"/>
      <c r="D99" s="139"/>
      <c r="E99" s="140"/>
      <c r="F99" s="141"/>
      <c r="G99" s="124"/>
      <c r="H99" s="124"/>
      <c r="K99" s="92"/>
    </row>
    <row r="100" s="57" customFormat="1" spans="2:11">
      <c r="B100" s="52"/>
      <c r="C100" s="138"/>
      <c r="D100" s="139"/>
      <c r="E100" s="140"/>
      <c r="F100" s="141"/>
      <c r="G100" s="124"/>
      <c r="H100" s="124"/>
      <c r="K100" s="92"/>
    </row>
    <row r="101" s="57" customFormat="1" spans="2:11">
      <c r="B101" s="52"/>
      <c r="C101" s="138"/>
      <c r="D101" s="139"/>
      <c r="E101" s="140"/>
      <c r="F101" s="141"/>
      <c r="G101" s="124"/>
      <c r="H101" s="124"/>
      <c r="K101" s="92"/>
    </row>
    <row r="102" s="57" customFormat="1" spans="2:11">
      <c r="B102" s="52"/>
      <c r="C102" s="138"/>
      <c r="D102" s="139"/>
      <c r="E102" s="140"/>
      <c r="F102" s="141"/>
      <c r="G102" s="124"/>
      <c r="H102" s="124"/>
      <c r="K102" s="92"/>
    </row>
    <row r="103" s="57" customFormat="1" spans="2:11">
      <c r="B103" s="52"/>
      <c r="C103" s="138"/>
      <c r="D103" s="139"/>
      <c r="E103" s="140"/>
      <c r="F103" s="141"/>
      <c r="G103" s="124"/>
      <c r="H103" s="124"/>
      <c r="K103" s="92"/>
    </row>
    <row r="104" s="57" customFormat="1" spans="2:11">
      <c r="B104" s="52"/>
      <c r="C104" s="138"/>
      <c r="D104" s="139"/>
      <c r="E104" s="140"/>
      <c r="F104" s="141"/>
      <c r="G104" s="124"/>
      <c r="H104" s="124"/>
      <c r="K104" s="92"/>
    </row>
    <row r="105" s="57" customFormat="1" spans="2:11">
      <c r="B105" s="52"/>
      <c r="C105" s="138"/>
      <c r="D105" s="139"/>
      <c r="E105" s="140"/>
      <c r="F105" s="141"/>
      <c r="G105" s="124"/>
      <c r="H105" s="124"/>
      <c r="K105" s="92"/>
    </row>
    <row r="106" s="57" customFormat="1" spans="2:11">
      <c r="B106" s="52"/>
      <c r="C106" s="138"/>
      <c r="D106" s="139"/>
      <c r="E106" s="140"/>
      <c r="F106" s="141"/>
      <c r="G106" s="124"/>
      <c r="H106" s="124"/>
      <c r="K106" s="92"/>
    </row>
    <row r="107" s="57" customFormat="1" spans="2:11">
      <c r="B107" s="52"/>
      <c r="C107" s="138"/>
      <c r="D107" s="139"/>
      <c r="E107" s="140"/>
      <c r="F107" s="141"/>
      <c r="G107" s="124"/>
      <c r="H107" s="124"/>
      <c r="K107" s="92"/>
    </row>
    <row r="108" s="57" customFormat="1" spans="2:11">
      <c r="B108" s="52"/>
      <c r="C108" s="138"/>
      <c r="D108" s="139"/>
      <c r="E108" s="140"/>
      <c r="F108" s="141"/>
      <c r="G108" s="124"/>
      <c r="H108" s="124"/>
      <c r="K108" s="92"/>
    </row>
    <row r="109" s="57" customFormat="1" spans="2:11">
      <c r="B109" s="52"/>
      <c r="C109" s="138"/>
      <c r="D109" s="139"/>
      <c r="E109" s="140"/>
      <c r="F109" s="141"/>
      <c r="G109" s="124"/>
      <c r="H109" s="124"/>
      <c r="K109" s="92"/>
    </row>
    <row r="110" s="57" customFormat="1" spans="2:11">
      <c r="B110" s="52"/>
      <c r="C110" s="138"/>
      <c r="D110" s="139"/>
      <c r="E110" s="140"/>
      <c r="F110" s="141"/>
      <c r="G110" s="124"/>
      <c r="H110" s="124"/>
      <c r="K110" s="92"/>
    </row>
    <row r="111" s="57" customFormat="1" spans="2:11">
      <c r="B111" s="52"/>
      <c r="C111" s="138"/>
      <c r="D111" s="139"/>
      <c r="E111" s="140"/>
      <c r="F111" s="141"/>
      <c r="G111" s="124"/>
      <c r="H111" s="124"/>
      <c r="K111" s="92"/>
    </row>
    <row r="112" s="57" customFormat="1" spans="2:11">
      <c r="B112" s="52"/>
      <c r="C112" s="138"/>
      <c r="D112" s="139"/>
      <c r="E112" s="140"/>
      <c r="F112" s="141"/>
      <c r="G112" s="124"/>
      <c r="H112" s="124"/>
      <c r="K112" s="92"/>
    </row>
    <row r="113" s="57" customFormat="1" spans="2:11">
      <c r="B113" s="52"/>
      <c r="C113" s="138"/>
      <c r="D113" s="139"/>
      <c r="E113" s="140"/>
      <c r="F113" s="141"/>
      <c r="G113" s="124"/>
      <c r="H113" s="124"/>
      <c r="K113" s="92"/>
    </row>
    <row r="114" s="57" customFormat="1" spans="2:11">
      <c r="B114" s="52"/>
      <c r="C114" s="138"/>
      <c r="D114" s="139"/>
      <c r="E114" s="140"/>
      <c r="F114" s="141"/>
      <c r="G114" s="124"/>
      <c r="H114" s="124"/>
      <c r="K114" s="92"/>
    </row>
    <row r="115" s="57" customFormat="1" spans="2:11">
      <c r="B115" s="52"/>
      <c r="C115" s="138"/>
      <c r="D115" s="139"/>
      <c r="E115" s="140"/>
      <c r="F115" s="141"/>
      <c r="G115" s="124"/>
      <c r="H115" s="124"/>
      <c r="K115" s="92"/>
    </row>
    <row r="116" s="57" customFormat="1" spans="2:11">
      <c r="B116" s="52"/>
      <c r="C116" s="138"/>
      <c r="D116" s="139"/>
      <c r="E116" s="140"/>
      <c r="F116" s="141"/>
      <c r="G116" s="124"/>
      <c r="H116" s="124"/>
      <c r="K116" s="92"/>
    </row>
    <row r="117" s="57" customFormat="1" spans="2:11">
      <c r="B117" s="52"/>
      <c r="C117" s="138"/>
      <c r="D117" s="139"/>
      <c r="E117" s="140"/>
      <c r="F117" s="141"/>
      <c r="G117" s="124"/>
      <c r="H117" s="124"/>
      <c r="K117" s="92"/>
    </row>
    <row r="118" s="57" customFormat="1" spans="2:11">
      <c r="B118" s="52"/>
      <c r="C118" s="138"/>
      <c r="D118" s="139"/>
      <c r="E118" s="140"/>
      <c r="F118" s="141"/>
      <c r="G118" s="124"/>
      <c r="H118" s="124"/>
      <c r="K118" s="92"/>
    </row>
    <row r="119" s="57" customFormat="1" spans="2:11">
      <c r="B119" s="52"/>
      <c r="C119" s="138"/>
      <c r="D119" s="139"/>
      <c r="E119" s="140"/>
      <c r="F119" s="141"/>
      <c r="G119" s="124"/>
      <c r="H119" s="124"/>
      <c r="K119" s="92"/>
    </row>
    <row r="120" s="57" customFormat="1" spans="2:11">
      <c r="B120" s="52"/>
      <c r="C120" s="138"/>
      <c r="D120" s="139"/>
      <c r="E120" s="140"/>
      <c r="F120" s="141"/>
      <c r="G120" s="124"/>
      <c r="H120" s="124"/>
      <c r="K120" s="92"/>
    </row>
    <row r="121" s="57" customFormat="1" spans="2:11">
      <c r="B121" s="52"/>
      <c r="C121" s="138"/>
      <c r="D121" s="139"/>
      <c r="E121" s="140"/>
      <c r="F121" s="141"/>
      <c r="G121" s="124"/>
      <c r="H121" s="124"/>
      <c r="K121" s="92"/>
    </row>
    <row r="122" s="57" customFormat="1" spans="2:11">
      <c r="B122" s="52"/>
      <c r="C122" s="138"/>
      <c r="D122" s="139"/>
      <c r="E122" s="140"/>
      <c r="F122" s="141"/>
      <c r="G122" s="124"/>
      <c r="H122" s="124"/>
      <c r="K122" s="92"/>
    </row>
    <row r="123" s="57" customFormat="1" spans="2:11">
      <c r="B123" s="52"/>
      <c r="C123" s="138"/>
      <c r="D123" s="139"/>
      <c r="E123" s="140"/>
      <c r="F123" s="141"/>
      <c r="G123" s="124"/>
      <c r="H123" s="124"/>
      <c r="K123" s="92"/>
    </row>
    <row r="124" s="57" customFormat="1" spans="2:11">
      <c r="B124" s="52"/>
      <c r="C124" s="138"/>
      <c r="D124" s="139"/>
      <c r="E124" s="140"/>
      <c r="F124" s="141"/>
      <c r="G124" s="124"/>
      <c r="H124" s="124"/>
      <c r="K124" s="92"/>
    </row>
    <row r="125" s="57" customFormat="1" spans="2:11">
      <c r="B125" s="52"/>
      <c r="C125" s="138"/>
      <c r="D125" s="139"/>
      <c r="E125" s="140"/>
      <c r="F125" s="141"/>
      <c r="G125" s="124"/>
      <c r="H125" s="124"/>
      <c r="K125" s="92"/>
    </row>
    <row r="126" s="57" customFormat="1" spans="2:11">
      <c r="B126" s="52"/>
      <c r="C126" s="138"/>
      <c r="D126" s="139"/>
      <c r="E126" s="140"/>
      <c r="F126" s="141"/>
      <c r="G126" s="124"/>
      <c r="H126" s="124"/>
      <c r="K126" s="92"/>
    </row>
    <row r="127" s="57" customFormat="1" spans="2:11">
      <c r="B127" s="52"/>
      <c r="C127" s="138"/>
      <c r="D127" s="139"/>
      <c r="E127" s="140"/>
      <c r="F127" s="141"/>
      <c r="G127" s="124"/>
      <c r="H127" s="124"/>
      <c r="K127" s="92"/>
    </row>
    <row r="128" s="57" customFormat="1" spans="2:11">
      <c r="B128" s="52"/>
      <c r="C128" s="138"/>
      <c r="D128" s="139"/>
      <c r="E128" s="140"/>
      <c r="F128" s="141"/>
      <c r="G128" s="124"/>
      <c r="H128" s="124"/>
      <c r="K128" s="92"/>
    </row>
    <row r="129" s="57" customFormat="1" spans="2:11">
      <c r="B129" s="52"/>
      <c r="C129" s="138"/>
      <c r="D129" s="139"/>
      <c r="E129" s="140"/>
      <c r="F129" s="141"/>
      <c r="G129" s="124"/>
      <c r="H129" s="124"/>
      <c r="K129" s="92"/>
    </row>
    <row r="130" s="57" customFormat="1" spans="2:11">
      <c r="B130" s="52"/>
      <c r="C130" s="138"/>
      <c r="D130" s="139"/>
      <c r="E130" s="140"/>
      <c r="F130" s="141"/>
      <c r="G130" s="124"/>
      <c r="H130" s="124"/>
      <c r="K130" s="92"/>
    </row>
    <row r="131" s="57" customFormat="1" spans="2:11">
      <c r="B131" s="52"/>
      <c r="C131" s="138"/>
      <c r="D131" s="139"/>
      <c r="E131" s="140"/>
      <c r="F131" s="141"/>
      <c r="G131" s="124"/>
      <c r="H131" s="124"/>
      <c r="K131" s="92"/>
    </row>
    <row r="132" s="57" customFormat="1" spans="2:11">
      <c r="B132" s="52"/>
      <c r="C132" s="138"/>
      <c r="D132" s="139"/>
      <c r="E132" s="140"/>
      <c r="F132" s="141"/>
      <c r="G132" s="124"/>
      <c r="H132" s="124"/>
      <c r="K132" s="92"/>
    </row>
    <row r="133" s="57" customFormat="1" spans="2:11">
      <c r="B133" s="52"/>
      <c r="C133" s="138"/>
      <c r="D133" s="139"/>
      <c r="E133" s="140"/>
      <c r="F133" s="141"/>
      <c r="G133" s="124"/>
      <c r="H133" s="124"/>
      <c r="K133" s="92"/>
    </row>
    <row r="134" s="57" customFormat="1" spans="2:11">
      <c r="B134" s="52"/>
      <c r="C134" s="138"/>
      <c r="D134" s="139"/>
      <c r="E134" s="140"/>
      <c r="F134" s="141"/>
      <c r="G134" s="124"/>
      <c r="H134" s="124"/>
      <c r="K134" s="92"/>
    </row>
    <row r="135" s="57" customFormat="1" spans="2:11">
      <c r="B135" s="52"/>
      <c r="C135" s="138"/>
      <c r="D135" s="139"/>
      <c r="E135" s="140"/>
      <c r="F135" s="141"/>
      <c r="G135" s="124"/>
      <c r="H135" s="124"/>
      <c r="K135" s="92"/>
    </row>
    <row r="136" s="57" customFormat="1" spans="2:11">
      <c r="B136" s="52"/>
      <c r="C136" s="138"/>
      <c r="D136" s="139"/>
      <c r="E136" s="140"/>
      <c r="F136" s="141"/>
      <c r="G136" s="124"/>
      <c r="H136" s="124"/>
      <c r="K136" s="92"/>
    </row>
    <row r="137" s="57" customFormat="1" spans="2:11">
      <c r="B137" s="52"/>
      <c r="C137" s="138"/>
      <c r="D137" s="139"/>
      <c r="E137" s="140"/>
      <c r="F137" s="141"/>
      <c r="G137" s="124"/>
      <c r="H137" s="124"/>
      <c r="K137" s="92"/>
    </row>
    <row r="138" s="57" customFormat="1" spans="2:11">
      <c r="B138" s="52"/>
      <c r="C138" s="138"/>
      <c r="D138" s="139"/>
      <c r="E138" s="140"/>
      <c r="F138" s="141"/>
      <c r="G138" s="124"/>
      <c r="H138" s="124"/>
      <c r="K138" s="92"/>
    </row>
    <row r="139" s="57" customFormat="1" spans="2:11">
      <c r="B139" s="52"/>
      <c r="C139" s="138"/>
      <c r="D139" s="139"/>
      <c r="E139" s="140"/>
      <c r="F139" s="141"/>
      <c r="G139" s="124"/>
      <c r="H139" s="124"/>
      <c r="K139" s="92"/>
    </row>
    <row r="140" s="57" customFormat="1" spans="2:11">
      <c r="B140" s="52"/>
      <c r="C140" s="138"/>
      <c r="D140" s="139"/>
      <c r="E140" s="140"/>
      <c r="F140" s="141"/>
      <c r="G140" s="124"/>
      <c r="H140" s="124"/>
      <c r="K140" s="92"/>
    </row>
    <row r="141" s="57" customFormat="1" spans="2:11">
      <c r="B141" s="52"/>
      <c r="C141" s="138"/>
      <c r="D141" s="139"/>
      <c r="E141" s="140"/>
      <c r="F141" s="141"/>
      <c r="G141" s="124"/>
      <c r="H141" s="124"/>
      <c r="K141" s="92"/>
    </row>
    <row r="142" s="57" customFormat="1" spans="2:11">
      <c r="B142" s="52"/>
      <c r="C142" s="138"/>
      <c r="D142" s="139"/>
      <c r="E142" s="140"/>
      <c r="F142" s="141"/>
      <c r="G142" s="124"/>
      <c r="H142" s="124"/>
      <c r="K142" s="92"/>
    </row>
    <row r="143" s="57" customFormat="1" spans="2:11">
      <c r="B143" s="52"/>
      <c r="C143" s="138"/>
      <c r="D143" s="139"/>
      <c r="E143" s="140"/>
      <c r="F143" s="141"/>
      <c r="G143" s="124"/>
      <c r="H143" s="124"/>
      <c r="K143" s="92"/>
    </row>
    <row r="144" s="57" customFormat="1" spans="2:11">
      <c r="B144" s="52"/>
      <c r="C144" s="138"/>
      <c r="D144" s="139"/>
      <c r="E144" s="140"/>
      <c r="F144" s="141"/>
      <c r="G144" s="124"/>
      <c r="H144" s="124"/>
      <c r="K144" s="92"/>
    </row>
    <row r="145" s="57" customFormat="1" spans="2:11">
      <c r="B145" s="52"/>
      <c r="C145" s="138"/>
      <c r="D145" s="139"/>
      <c r="E145" s="140"/>
      <c r="F145" s="141"/>
      <c r="G145" s="124"/>
      <c r="H145" s="124"/>
      <c r="K145" s="92"/>
    </row>
    <row r="146" s="57" customFormat="1" spans="2:11">
      <c r="B146" s="52"/>
      <c r="C146" s="138"/>
      <c r="D146" s="139"/>
      <c r="E146" s="140"/>
      <c r="F146" s="141"/>
      <c r="G146" s="124"/>
      <c r="H146" s="124"/>
      <c r="K146" s="92"/>
    </row>
    <row r="147" s="57" customFormat="1" spans="2:11">
      <c r="B147" s="52"/>
      <c r="C147" s="138"/>
      <c r="D147" s="139"/>
      <c r="E147" s="140"/>
      <c r="F147" s="141"/>
      <c r="G147" s="124"/>
      <c r="H147" s="124"/>
      <c r="K147" s="92"/>
    </row>
    <row r="148" s="57" customFormat="1" spans="2:11">
      <c r="B148" s="52"/>
      <c r="C148" s="138"/>
      <c r="D148" s="139"/>
      <c r="E148" s="140"/>
      <c r="F148" s="141"/>
      <c r="G148" s="124"/>
      <c r="H148" s="124"/>
      <c r="K148" s="92"/>
    </row>
    <row r="149" s="57" customFormat="1" spans="2:11">
      <c r="B149" s="52"/>
      <c r="C149" s="138"/>
      <c r="D149" s="139"/>
      <c r="E149" s="140"/>
      <c r="F149" s="141"/>
      <c r="G149" s="124"/>
      <c r="H149" s="124"/>
      <c r="K149" s="92"/>
    </row>
    <row r="150" s="57" customFormat="1" spans="2:11">
      <c r="B150" s="52"/>
      <c r="C150" s="138"/>
      <c r="D150" s="139"/>
      <c r="E150" s="140"/>
      <c r="F150" s="141"/>
      <c r="G150" s="124"/>
      <c r="H150" s="124"/>
      <c r="K150" s="92"/>
    </row>
    <row r="151" s="57" customFormat="1" spans="2:11">
      <c r="B151" s="52"/>
      <c r="C151" s="138"/>
      <c r="D151" s="139"/>
      <c r="E151" s="140"/>
      <c r="F151" s="141"/>
      <c r="G151" s="124"/>
      <c r="H151" s="124"/>
      <c r="K151" s="92"/>
    </row>
    <row r="152" s="57" customFormat="1" spans="2:11">
      <c r="B152" s="52"/>
      <c r="C152" s="138"/>
      <c r="D152" s="139"/>
      <c r="E152" s="140"/>
      <c r="F152" s="141"/>
      <c r="G152" s="124"/>
      <c r="H152" s="124"/>
      <c r="K152" s="92"/>
    </row>
    <row r="153" s="57" customFormat="1" spans="2:11">
      <c r="B153" s="52"/>
      <c r="C153" s="138"/>
      <c r="D153" s="139"/>
      <c r="E153" s="140"/>
      <c r="F153" s="141"/>
      <c r="G153" s="124"/>
      <c r="H153" s="124"/>
      <c r="K153" s="92"/>
    </row>
    <row r="154" s="57" customFormat="1" spans="2:11">
      <c r="B154" s="52"/>
      <c r="C154" s="138"/>
      <c r="D154" s="139"/>
      <c r="E154" s="140"/>
      <c r="F154" s="141"/>
      <c r="G154" s="124"/>
      <c r="H154" s="124"/>
      <c r="K154" s="92"/>
    </row>
    <row r="155" s="57" customFormat="1" spans="2:11">
      <c r="B155" s="52"/>
      <c r="C155" s="138"/>
      <c r="D155" s="139"/>
      <c r="E155" s="140"/>
      <c r="F155" s="141"/>
      <c r="G155" s="124"/>
      <c r="H155" s="124"/>
      <c r="K155" s="92"/>
    </row>
    <row r="156" s="57" customFormat="1" spans="2:11">
      <c r="B156" s="52"/>
      <c r="C156" s="138"/>
      <c r="D156" s="139"/>
      <c r="E156" s="140"/>
      <c r="F156" s="141"/>
      <c r="G156" s="124"/>
      <c r="H156" s="124"/>
      <c r="K156" s="92"/>
    </row>
    <row r="157" s="57" customFormat="1" spans="2:11">
      <c r="B157" s="52"/>
      <c r="C157" s="138"/>
      <c r="D157" s="139"/>
      <c r="E157" s="140"/>
      <c r="F157" s="141"/>
      <c r="G157" s="124"/>
      <c r="H157" s="124"/>
      <c r="K157" s="92"/>
    </row>
  </sheetData>
  <sheetProtection selectLockedCells="1" selectUnlockedCells="1"/>
  <mergeCells count="15">
    <mergeCell ref="B1:H1"/>
    <mergeCell ref="D5:G5"/>
    <mergeCell ref="D6:G6"/>
    <mergeCell ref="B7:H7"/>
    <mergeCell ref="B8:C8"/>
    <mergeCell ref="D8:H8"/>
    <mergeCell ref="B9:H9"/>
    <mergeCell ref="B10:H10"/>
    <mergeCell ref="B11:H11"/>
    <mergeCell ref="B12:H12"/>
    <mergeCell ref="G13:H13"/>
    <mergeCell ref="D40:H40"/>
    <mergeCell ref="B41:C41"/>
    <mergeCell ref="B42:H42"/>
    <mergeCell ref="B43:H43"/>
  </mergeCells>
  <pageMargins left="0.7" right="0.7" top="0.75" bottom="0" header="0.3" footer="0.3"/>
  <pageSetup paperSize="9" scale="75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69"/>
  <sheetViews>
    <sheetView zoomScaleSheetLayoutView="98" workbookViewId="0">
      <selection activeCell="Q18" sqref="Q18"/>
    </sheetView>
  </sheetViews>
  <sheetFormatPr defaultColWidth="8.88571428571429" defaultRowHeight="18" customHeight="1"/>
  <cols>
    <col min="1" max="1" width="1.55238095238095" style="45" customWidth="1"/>
    <col min="2" max="2" width="5.55238095238095" style="46" customWidth="1"/>
    <col min="3" max="3" width="21.3333333333333" style="47" customWidth="1"/>
    <col min="4" max="4" width="54.552380952381" style="48" customWidth="1"/>
    <col min="5" max="5" width="13.3333333333333" style="47" customWidth="1"/>
    <col min="6" max="6" width="14.8857142857143" style="49" customWidth="1"/>
    <col min="7" max="52" width="8.88571428571429" style="45"/>
    <col min="53" max="16384" width="8.88571428571429" style="46"/>
  </cols>
  <sheetData>
    <row r="1" ht="22.8" customHeight="1" spans="1:52">
      <c r="B1" s="50" t="s">
        <v>648</v>
      </c>
      <c r="C1" s="50"/>
      <c r="D1" s="50"/>
      <c r="E1" s="50"/>
      <c r="F1" s="50"/>
      <c r="G1" s="51"/>
      <c r="H1" s="51"/>
      <c r="I1" s="51"/>
    </row>
    <row r="2" ht="13.8" customHeight="1" spans="1:52">
      <c r="B2" s="52" t="s">
        <v>649</v>
      </c>
      <c r="C2" s="52"/>
      <c r="D2" s="52"/>
      <c r="E2" s="52"/>
      <c r="F2" s="52"/>
      <c r="G2" s="53"/>
      <c r="H2" s="53"/>
      <c r="I2" s="53"/>
    </row>
    <row r="3" ht="34.8" customHeight="1" spans="1:52">
      <c r="B3" s="54" t="s">
        <v>650</v>
      </c>
      <c r="C3" s="54"/>
      <c r="D3" s="54"/>
      <c r="E3" s="54"/>
      <c r="F3" s="54"/>
      <c r="G3" s="55"/>
      <c r="H3" s="55"/>
      <c r="I3" s="56"/>
    </row>
    <row r="4" s="41" customFormat="1" ht="25.95" customHeight="1" spans="1:52">
      <c r="A4" s="57"/>
      <c r="B4" s="58" t="s">
        <v>651</v>
      </c>
      <c r="C4" s="58"/>
      <c r="D4" s="58"/>
      <c r="E4" s="58"/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</row>
    <row r="5" s="42" customFormat="1" ht="19.8" customHeight="1" spans="1:52">
      <c r="A5" s="59"/>
      <c r="B5" s="60" t="s">
        <v>652</v>
      </c>
      <c r="C5" s="60"/>
      <c r="D5" s="60"/>
      <c r="E5" s="60"/>
      <c r="F5" s="60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</row>
    <row r="6" s="41" customFormat="1" ht="18.75" spans="1:52">
      <c r="A6" s="57"/>
      <c r="B6" s="61" t="s">
        <v>614</v>
      </c>
      <c r="C6" s="61"/>
      <c r="D6" s="61"/>
      <c r="E6" s="61"/>
      <c r="F6" s="61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</row>
    <row r="7" s="41" customFormat="1" ht="18.75" spans="1:52">
      <c r="A7" s="57"/>
      <c r="B7" s="61" t="s">
        <v>653</v>
      </c>
      <c r="C7" s="61"/>
      <c r="D7" s="61"/>
      <c r="E7" s="61"/>
      <c r="F7" s="61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s="41" customFormat="1" ht="18.75" spans="1:52">
      <c r="A8" s="57"/>
      <c r="B8" s="61" t="s">
        <v>654</v>
      </c>
      <c r="C8" s="61"/>
      <c r="D8" s="61"/>
      <c r="E8" s="61"/>
      <c r="F8" s="61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</row>
    <row r="9" s="41" customFormat="1" ht="18.75" spans="1:52">
      <c r="A9" s="57"/>
      <c r="B9" s="61" t="s">
        <v>655</v>
      </c>
      <c r="C9" s="61"/>
      <c r="D9" s="61"/>
      <c r="E9" s="61"/>
      <c r="F9" s="61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</row>
    <row r="10" s="42" customFormat="1" ht="20.4" customHeight="1" spans="1:52">
      <c r="A10" s="59"/>
      <c r="B10" s="62" t="s">
        <v>656</v>
      </c>
      <c r="C10" s="62"/>
      <c r="D10" s="60" t="s">
        <v>657</v>
      </c>
      <c r="E10" s="60"/>
      <c r="F10" s="60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</row>
    <row r="11" s="42" customFormat="1" customHeight="1" spans="1:52">
      <c r="A11" s="59"/>
      <c r="B11" s="59" t="s">
        <v>658</v>
      </c>
      <c r="C11" s="59"/>
      <c r="D11" s="63"/>
      <c r="E11" s="63"/>
      <c r="F11" s="63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</row>
    <row r="12" s="43" customFormat="1" customHeight="1" spans="1:52">
      <c r="A12" s="64"/>
      <c r="B12" s="65" t="s">
        <v>659</v>
      </c>
      <c r="C12" s="65"/>
      <c r="D12" s="66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="43" customFormat="1" customHeight="1" spans="1:52">
      <c r="A13" s="64"/>
      <c r="B13" s="65" t="s">
        <v>660</v>
      </c>
      <c r="C13" s="65"/>
      <c r="D13" s="66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="44" customFormat="1" ht="19.8" customHeight="1" spans="1:52">
      <c r="A14" s="67"/>
      <c r="B14" s="68" t="s">
        <v>661</v>
      </c>
      <c r="C14" s="68"/>
      <c r="D14" s="68"/>
      <c r="E14" s="68"/>
      <c r="F14" s="68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</row>
    <row r="15" s="42" customFormat="1" ht="33" customHeight="1" spans="1:52">
      <c r="A15" s="59"/>
      <c r="B15" s="69" t="s">
        <v>662</v>
      </c>
      <c r="C15" s="69" t="s">
        <v>663</v>
      </c>
      <c r="D15" s="70" t="s">
        <v>664</v>
      </c>
      <c r="E15" s="71" t="s">
        <v>665</v>
      </c>
      <c r="F15" s="72" t="s">
        <v>666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</row>
    <row r="16" customHeight="1" spans="1:52">
      <c r="B16" s="73">
        <v>1</v>
      </c>
      <c r="C16" s="196" t="str">
        <f>+'Báo giá '!C15</f>
        <v>a1</v>
      </c>
      <c r="D16" s="197" t="str">
        <f>+'Báo giá '!D15</f>
        <v>Giấy  Double A A4 ĐL70</v>
      </c>
      <c r="E16" s="198" t="str">
        <f>+'Báo giá '!E15</f>
        <v>Ream</v>
      </c>
      <c r="F16" s="76">
        <f>+'Báo giá '!F15</f>
        <v>1</v>
      </c>
    </row>
    <row r="17" customHeight="1" spans="2:6">
      <c r="B17" s="73">
        <v>2</v>
      </c>
      <c r="C17" s="196" t="str">
        <f>+'Báo giá '!C16</f>
        <v>a2</v>
      </c>
      <c r="D17" s="197" t="str">
        <f>+'Báo giá '!D16</f>
        <v>Giấy IK Plus  A4 ĐL70</v>
      </c>
      <c r="E17" s="198" t="str">
        <f>+'Báo giá '!E16</f>
        <v>Ream</v>
      </c>
      <c r="F17" s="76">
        <f>+'Báo giá '!F16</f>
        <v>5</v>
      </c>
    </row>
    <row r="18" customHeight="1" spans="2:6">
      <c r="B18" s="73">
        <v>3</v>
      </c>
      <c r="C18" s="196" t="str">
        <f>+'Báo giá '!C17</f>
        <v>a3</v>
      </c>
      <c r="D18" s="197" t="str">
        <f>+'Báo giá '!D17</f>
        <v>Giấy  Paper One A4 ĐL 70</v>
      </c>
      <c r="E18" s="198" t="str">
        <f>+'Báo giá '!E17</f>
        <v>Ream</v>
      </c>
      <c r="F18" s="76">
        <f>+'Báo giá '!F17</f>
        <v>5</v>
      </c>
    </row>
    <row r="19" customHeight="1" spans="2:6">
      <c r="B19" s="73">
        <v>4</v>
      </c>
      <c r="C19" s="196" t="str">
        <f>+'Báo giá '!C18</f>
        <v>a4</v>
      </c>
      <c r="D19" s="197" t="str">
        <f>+'Báo giá '!D18</f>
        <v>Giấy A4 Acura ĐL 70gsm</v>
      </c>
      <c r="E19" s="198" t="str">
        <f>+'Báo giá '!E18</f>
        <v>Ream</v>
      </c>
      <c r="F19" s="76">
        <f>+'Báo giá '!F18</f>
        <v>5</v>
      </c>
    </row>
    <row r="20" customHeight="1" spans="2:6">
      <c r="B20" s="73">
        <v>5</v>
      </c>
      <c r="C20" s="196" t="str">
        <f>+'Báo giá '!C19</f>
        <v>a5</v>
      </c>
      <c r="D20" s="197" t="str">
        <f>+'Báo giá '!D19</f>
        <v>Giấy A4 Acura Plus ĐL 70gsm</v>
      </c>
      <c r="E20" s="198" t="str">
        <f>+'Báo giá '!E19</f>
        <v>Ream</v>
      </c>
      <c r="F20" s="76">
        <f>+'Báo giá '!F19</f>
        <v>5</v>
      </c>
    </row>
    <row r="21" customHeight="1" spans="2:6">
      <c r="B21" s="73">
        <v>6</v>
      </c>
      <c r="C21" s="196" t="str">
        <f>+'Báo giá '!C20</f>
        <v>a6</v>
      </c>
      <c r="D21" s="197" t="str">
        <f>+'Báo giá '!D20</f>
        <v>Giấy A4 Qualiti A4 80/90gms</v>
      </c>
      <c r="E21" s="198" t="str">
        <f>+'Báo giá '!E20</f>
        <v>Ream</v>
      </c>
      <c r="F21" s="76">
        <f>+'Báo giá '!F20</f>
        <v>5</v>
      </c>
    </row>
    <row r="22" customHeight="1" spans="2:6">
      <c r="B22" s="73">
        <v>7</v>
      </c>
      <c r="C22" s="196" t="str">
        <f>+'Báo giá '!C21</f>
        <v>a7</v>
      </c>
      <c r="D22" s="197" t="str">
        <f>+'Báo giá '!D21</f>
        <v>Giấy A4 IK Copy 65/90</v>
      </c>
      <c r="E22" s="198" t="str">
        <f>+'Báo giá '!E21</f>
        <v>Ream</v>
      </c>
      <c r="F22" s="76">
        <f>+'Báo giá '!F21</f>
        <v>5</v>
      </c>
    </row>
    <row r="23" customHeight="1" spans="2:6">
      <c r="B23" s="73">
        <v>8</v>
      </c>
      <c r="C23" s="196" t="str">
        <f>+'Báo giá '!C22</f>
        <v>a8</v>
      </c>
      <c r="D23" s="197" t="str">
        <f>+'Báo giá '!D22</f>
        <v>Giấy A4 Copy One A4 80gsm</v>
      </c>
      <c r="E23" s="198" t="str">
        <f>+'Báo giá '!E22</f>
        <v>Ream</v>
      </c>
      <c r="F23" s="76">
        <f>+'Báo giá '!F22</f>
        <v>5</v>
      </c>
    </row>
    <row r="24" customHeight="1" spans="2:6">
      <c r="B24" s="73">
        <v>9</v>
      </c>
      <c r="C24" s="196" t="str">
        <f>+'Báo giá '!C23</f>
        <v>a9</v>
      </c>
      <c r="D24" s="197" t="str">
        <f>+'Báo giá '!D23</f>
        <v>Giấy Smartis A4</v>
      </c>
      <c r="E24" s="198" t="str">
        <f>+'Báo giá '!E23</f>
        <v>Ream</v>
      </c>
      <c r="F24" s="76">
        <f>+'Báo giá '!F23</f>
        <v>5</v>
      </c>
    </row>
    <row r="25" customHeight="1" spans="2:6">
      <c r="B25" s="73">
        <v>10</v>
      </c>
      <c r="C25" s="196" t="str">
        <f>+'Báo giá '!C24</f>
        <v>a10</v>
      </c>
      <c r="D25" s="197" t="str">
        <f>+'Báo giá '!D24</f>
        <v>Giấy quality A4 ĐL 70</v>
      </c>
      <c r="E25" s="198" t="str">
        <f>+'Báo giá '!E24</f>
        <v>Ream</v>
      </c>
      <c r="F25" s="76">
        <f>+'Báo giá '!F24</f>
        <v>5</v>
      </c>
    </row>
    <row r="26" customHeight="1" spans="2:6">
      <c r="B26" s="73">
        <v>11</v>
      </c>
      <c r="C26" s="196" t="str">
        <f>+'Báo giá '!C25</f>
        <v>a11</v>
      </c>
      <c r="D26" s="197" t="str">
        <f>+'Báo giá '!D25</f>
        <v>Giấy Green Pine A4 70gms</v>
      </c>
      <c r="E26" s="198" t="str">
        <f>+'Báo giá '!E25</f>
        <v>Ream</v>
      </c>
      <c r="F26" s="76">
        <f>+'Báo giá '!F25</f>
        <v>5</v>
      </c>
    </row>
    <row r="27" customHeight="1" spans="2:6">
      <c r="B27" s="73">
        <v>12</v>
      </c>
      <c r="C27" s="196" t="str">
        <f>+'Báo giá '!C26</f>
        <v>a12</v>
      </c>
      <c r="D27" s="197" t="str">
        <f>+'Báo giá '!D26</f>
        <v>Giấy IK one A4 70/90</v>
      </c>
      <c r="E27" s="198" t="str">
        <f>+'Báo giá '!E26</f>
        <v>Ream</v>
      </c>
      <c r="F27" s="76">
        <f>+'Báo giá '!F26</f>
        <v>5</v>
      </c>
    </row>
    <row r="28" customHeight="1" spans="2:6">
      <c r="B28" s="73">
        <v>13</v>
      </c>
      <c r="C28" s="73">
        <f>+'Báo giá '!C27</f>
        <v>0</v>
      </c>
      <c r="D28" s="74">
        <f>+'Báo giá '!D27</f>
        <v>0</v>
      </c>
      <c r="E28" s="75">
        <f>+'Báo giá '!E27</f>
        <v>0</v>
      </c>
      <c r="F28" s="76">
        <f>+'Báo giá '!F27</f>
        <v>5</v>
      </c>
    </row>
    <row r="29" customHeight="1" spans="2:6">
      <c r="B29" s="73">
        <v>14</v>
      </c>
      <c r="C29" s="73">
        <f>+'Báo giá '!C28</f>
        <v>0</v>
      </c>
      <c r="D29" s="74">
        <f>+'Báo giá '!D28</f>
        <v>0</v>
      </c>
      <c r="E29" s="75">
        <f>+'Báo giá '!E28</f>
        <v>0</v>
      </c>
      <c r="F29" s="76">
        <f>+'Báo giá '!F28</f>
        <v>5</v>
      </c>
    </row>
    <row r="30" customHeight="1" spans="2:6">
      <c r="B30" s="73">
        <v>15</v>
      </c>
      <c r="C30" s="73">
        <f>+'Báo giá '!C29</f>
        <v>0</v>
      </c>
      <c r="D30" s="74">
        <f>+'Báo giá '!D29</f>
        <v>0</v>
      </c>
      <c r="E30" s="75">
        <f>+'Báo giá '!E29</f>
        <v>0</v>
      </c>
      <c r="F30" s="76">
        <f>+'Báo giá '!F29</f>
        <v>5</v>
      </c>
    </row>
    <row r="31" customHeight="1" spans="2:6">
      <c r="B31" s="73">
        <v>16</v>
      </c>
      <c r="C31" s="73">
        <f>+'Báo giá '!C30</f>
        <v>0</v>
      </c>
      <c r="D31" s="74">
        <f>+'Báo giá '!D30</f>
        <v>0</v>
      </c>
      <c r="E31" s="75">
        <f>+'Báo giá '!E30</f>
        <v>0</v>
      </c>
      <c r="F31" s="76">
        <f>+'Báo giá '!F30</f>
        <v>0</v>
      </c>
    </row>
    <row r="32" customHeight="1" spans="2:6">
      <c r="B32" s="73">
        <v>17</v>
      </c>
      <c r="C32" s="73">
        <f>+'Báo giá '!C31</f>
        <v>0</v>
      </c>
      <c r="D32" s="74">
        <f>+'Báo giá '!D31</f>
        <v>0</v>
      </c>
      <c r="E32" s="75">
        <f>+'Báo giá '!E31</f>
        <v>0</v>
      </c>
      <c r="F32" s="76">
        <f>+'Báo giá '!F31</f>
        <v>0</v>
      </c>
    </row>
    <row r="33" customHeight="1" spans="1:52">
      <c r="B33" s="73">
        <v>18</v>
      </c>
      <c r="C33" s="73">
        <f>+'Báo giá '!C32</f>
        <v>0</v>
      </c>
      <c r="D33" s="74">
        <f>+'Báo giá '!D32</f>
        <v>0</v>
      </c>
      <c r="E33" s="75">
        <f>+'Báo giá '!E32</f>
        <v>0</v>
      </c>
      <c r="F33" s="76">
        <f>+'Báo giá '!F32</f>
        <v>0</v>
      </c>
    </row>
    <row r="34" customHeight="1" spans="1:52">
      <c r="B34" s="73">
        <v>19</v>
      </c>
      <c r="C34" s="73">
        <f>+'Báo giá '!C33</f>
        <v>0</v>
      </c>
      <c r="D34" s="74">
        <f>+'Báo giá '!D33</f>
        <v>0</v>
      </c>
      <c r="E34" s="75">
        <f>+'Báo giá '!E33</f>
        <v>0</v>
      </c>
      <c r="F34" s="76">
        <f>+'Báo giá '!F33</f>
        <v>0</v>
      </c>
    </row>
    <row r="35" customHeight="1" spans="1:52">
      <c r="B35" s="73">
        <v>20</v>
      </c>
      <c r="C35" s="73">
        <f>+'Báo giá '!C34</f>
        <v>0</v>
      </c>
      <c r="D35" s="74">
        <f>+'Báo giá '!D34</f>
        <v>0</v>
      </c>
      <c r="E35" s="75">
        <f>+'Báo giá '!E34</f>
        <v>0</v>
      </c>
      <c r="F35" s="76">
        <f>+'Báo giá '!F34</f>
        <v>0</v>
      </c>
    </row>
    <row r="36" customHeight="1" spans="1:52">
      <c r="B36" s="73">
        <v>21</v>
      </c>
      <c r="C36" s="73">
        <f>+'Báo giá '!C35</f>
        <v>0</v>
      </c>
      <c r="D36" s="74">
        <f>+'Báo giá '!D35</f>
        <v>0</v>
      </c>
      <c r="E36" s="75">
        <f>+'Báo giá '!E35</f>
        <v>0</v>
      </c>
      <c r="F36" s="76">
        <f>+'Báo giá '!F35</f>
        <v>0</v>
      </c>
    </row>
    <row r="37" customHeight="1" spans="1:52">
      <c r="B37" s="73">
        <v>22</v>
      </c>
      <c r="C37" s="73">
        <f>+'Báo giá '!C36</f>
        <v>0</v>
      </c>
      <c r="D37" s="74">
        <f>+'Báo giá '!D36</f>
        <v>0</v>
      </c>
      <c r="E37" s="75">
        <f>+'Báo giá '!E36</f>
        <v>0</v>
      </c>
      <c r="F37" s="76">
        <f>+'Báo giá '!F36</f>
        <v>0</v>
      </c>
    </row>
    <row r="38" customHeight="1" spans="1:52">
      <c r="B38" s="73">
        <v>23</v>
      </c>
      <c r="C38" s="73">
        <f>+'Báo giá '!C37</f>
        <v>0</v>
      </c>
      <c r="D38" s="74">
        <f>+'Báo giá '!D37</f>
        <v>0</v>
      </c>
      <c r="E38" s="75">
        <f>+'Báo giá '!E37</f>
        <v>0</v>
      </c>
      <c r="F38" s="76">
        <f>+'Báo giá '!F37</f>
        <v>0</v>
      </c>
    </row>
    <row r="39" customHeight="1" spans="1:52">
      <c r="B39" s="73">
        <v>24</v>
      </c>
      <c r="C39" s="73">
        <f>+'Báo giá '!C38</f>
        <v>0</v>
      </c>
      <c r="D39" s="74">
        <f>+'Báo giá '!D38</f>
        <v>0.08</v>
      </c>
      <c r="E39" s="75">
        <f>+'Báo giá '!E38</f>
        <v>0</v>
      </c>
      <c r="F39" s="76">
        <f>+'Báo giá '!F38</f>
        <v>0</v>
      </c>
    </row>
    <row r="40" ht="23.4" customHeight="1" spans="1:52">
      <c r="B40" s="73">
        <v>25</v>
      </c>
      <c r="C40" s="73">
        <f>+'Báo giá '!C39</f>
        <v>0</v>
      </c>
      <c r="D40" s="74">
        <f>+'Báo giá '!D39</f>
        <v>0</v>
      </c>
      <c r="E40" s="75">
        <f>+'Báo giá '!E39</f>
        <v>0</v>
      </c>
      <c r="F40" s="76">
        <f>+'Báo giá '!F39</f>
        <v>0</v>
      </c>
    </row>
    <row r="41" s="42" customFormat="1" ht="33.6" customHeight="1" spans="1:52">
      <c r="A41" s="59"/>
      <c r="B41" s="77" t="s">
        <v>667</v>
      </c>
      <c r="C41" s="77"/>
      <c r="D41" s="77"/>
      <c r="E41" s="77"/>
      <c r="F41" s="77"/>
      <c r="G41" s="78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</row>
    <row r="42" s="45" customFormat="1" ht="42.6" customHeight="1" spans="1:52">
      <c r="B42" s="79" t="s">
        <v>668</v>
      </c>
      <c r="C42" s="79"/>
      <c r="D42" s="80"/>
      <c r="E42" s="79"/>
      <c r="F42" s="81"/>
    </row>
    <row r="43" s="45" customFormat="1" customHeight="1" spans="1:52">
      <c r="D43" s="82"/>
      <c r="F43" s="83"/>
    </row>
    <row r="44" s="45" customFormat="1" customHeight="1" spans="1:52">
      <c r="D44" s="82"/>
      <c r="F44" s="83"/>
    </row>
    <row r="45" s="45" customFormat="1" customHeight="1" spans="1:52">
      <c r="D45" s="82"/>
      <c r="F45" s="83"/>
    </row>
    <row r="46" s="45" customFormat="1" customHeight="1" spans="1:52">
      <c r="B46" s="84"/>
      <c r="C46" s="84"/>
      <c r="D46" s="84"/>
      <c r="E46" s="84"/>
      <c r="F46" s="84"/>
    </row>
    <row r="47" s="45" customFormat="1" customHeight="1" spans="1:52">
      <c r="D47" s="82"/>
      <c r="F47" s="83"/>
    </row>
    <row r="48" s="45" customFormat="1" customHeight="1" spans="1:52">
      <c r="D48" s="82"/>
      <c r="F48" s="83"/>
    </row>
    <row r="49" s="45" customFormat="1" customHeight="1" spans="4:6">
      <c r="D49" s="82"/>
      <c r="F49" s="83"/>
    </row>
    <row r="50" s="45" customFormat="1" customHeight="1" spans="4:6">
      <c r="D50" s="82"/>
      <c r="F50" s="83"/>
    </row>
    <row r="51" s="45" customFormat="1" customHeight="1" spans="4:6">
      <c r="D51" s="82"/>
      <c r="F51" s="83"/>
    </row>
    <row r="52" s="45" customFormat="1" customHeight="1" spans="4:6">
      <c r="D52" s="82"/>
      <c r="F52" s="83"/>
    </row>
    <row r="53" s="45" customFormat="1" customHeight="1" spans="4:6">
      <c r="D53" s="82"/>
      <c r="F53" s="83"/>
    </row>
    <row r="54" s="45" customFormat="1" customHeight="1" spans="4:6">
      <c r="D54" s="82"/>
      <c r="F54" s="83"/>
    </row>
    <row r="55" s="45" customFormat="1" customHeight="1" spans="4:6">
      <c r="D55" s="82"/>
      <c r="F55" s="83"/>
    </row>
    <row r="56" s="45" customFormat="1" customHeight="1" spans="4:6">
      <c r="D56" s="82"/>
      <c r="F56" s="83"/>
    </row>
    <row r="57" s="45" customFormat="1" customHeight="1" spans="4:6">
      <c r="D57" s="82"/>
      <c r="F57" s="83"/>
    </row>
    <row r="58" s="45" customFormat="1" customHeight="1" spans="4:6">
      <c r="D58" s="82"/>
      <c r="F58" s="83"/>
    </row>
    <row r="59" s="45" customFormat="1" customHeight="1" spans="4:6">
      <c r="D59" s="82"/>
      <c r="F59" s="83"/>
    </row>
    <row r="60" s="45" customFormat="1" customHeight="1" spans="4:6">
      <c r="D60" s="82"/>
      <c r="F60" s="83"/>
    </row>
    <row r="61" s="45" customFormat="1" customHeight="1" spans="4:6">
      <c r="D61" s="82"/>
      <c r="F61" s="83"/>
    </row>
    <row r="62" s="45" customFormat="1" customHeight="1" spans="4:6">
      <c r="D62" s="82"/>
      <c r="F62" s="83"/>
    </row>
    <row r="63" s="45" customFormat="1" customHeight="1" spans="4:6">
      <c r="D63" s="82"/>
      <c r="F63" s="83"/>
    </row>
    <row r="64" s="45" customFormat="1" customHeight="1" spans="4:6">
      <c r="D64" s="82"/>
      <c r="F64" s="83"/>
    </row>
    <row r="65" s="45" customFormat="1" customHeight="1" spans="4:6">
      <c r="D65" s="82"/>
      <c r="F65" s="83"/>
    </row>
    <row r="66" s="45" customFormat="1" customHeight="1" spans="4:6">
      <c r="D66" s="82"/>
      <c r="F66" s="83"/>
    </row>
    <row r="67" s="45" customFormat="1" customHeight="1" spans="4:6">
      <c r="D67" s="82"/>
      <c r="F67" s="83"/>
    </row>
    <row r="68" s="45" customFormat="1" customHeight="1" spans="4:6">
      <c r="D68" s="82"/>
      <c r="F68" s="83"/>
    </row>
    <row r="69" s="45" customFormat="1" customHeight="1" spans="4:6">
      <c r="D69" s="82"/>
      <c r="F69" s="83"/>
    </row>
    <row r="70" s="45" customFormat="1" customHeight="1" spans="4:6">
      <c r="D70" s="82"/>
      <c r="F70" s="83"/>
    </row>
    <row r="71" s="45" customFormat="1" customHeight="1" spans="4:6">
      <c r="D71" s="82"/>
      <c r="F71" s="83"/>
    </row>
    <row r="72" s="45" customFormat="1" customHeight="1" spans="4:6">
      <c r="D72" s="82"/>
      <c r="F72" s="83"/>
    </row>
    <row r="73" s="45" customFormat="1" customHeight="1" spans="4:6">
      <c r="D73" s="82"/>
      <c r="F73" s="83"/>
    </row>
    <row r="74" s="45" customFormat="1" customHeight="1" spans="4:6">
      <c r="D74" s="82"/>
      <c r="F74" s="83"/>
    </row>
    <row r="75" s="45" customFormat="1" customHeight="1" spans="4:6">
      <c r="D75" s="82"/>
      <c r="F75" s="83"/>
    </row>
    <row r="76" s="45" customFormat="1" customHeight="1" spans="4:6">
      <c r="D76" s="82"/>
      <c r="F76" s="83"/>
    </row>
    <row r="77" s="45" customFormat="1" customHeight="1" spans="4:6">
      <c r="D77" s="82"/>
      <c r="F77" s="83"/>
    </row>
    <row r="78" s="45" customFormat="1" customHeight="1" spans="4:6">
      <c r="D78" s="82"/>
      <c r="F78" s="83"/>
    </row>
    <row r="79" s="45" customFormat="1" customHeight="1" spans="4:6">
      <c r="D79" s="82"/>
      <c r="F79" s="83"/>
    </row>
    <row r="80" s="45" customFormat="1" customHeight="1" spans="4:6">
      <c r="D80" s="82"/>
      <c r="F80" s="83"/>
    </row>
    <row r="81" s="45" customFormat="1" customHeight="1" spans="4:6">
      <c r="D81" s="82"/>
      <c r="F81" s="83"/>
    </row>
    <row r="82" s="45" customFormat="1" customHeight="1" spans="4:6">
      <c r="D82" s="82"/>
      <c r="F82" s="83"/>
    </row>
    <row r="83" s="45" customFormat="1" customHeight="1" spans="4:6">
      <c r="D83" s="82"/>
      <c r="F83" s="83"/>
    </row>
    <row r="84" s="45" customFormat="1" customHeight="1" spans="4:6">
      <c r="D84" s="82"/>
      <c r="F84" s="83"/>
    </row>
    <row r="85" s="45" customFormat="1" customHeight="1" spans="4:6">
      <c r="D85" s="82"/>
      <c r="F85" s="83"/>
    </row>
    <row r="86" s="45" customFormat="1" customHeight="1" spans="4:6">
      <c r="D86" s="82"/>
      <c r="F86" s="83"/>
    </row>
    <row r="87" s="45" customFormat="1" customHeight="1" spans="4:6">
      <c r="D87" s="82"/>
      <c r="F87" s="83"/>
    </row>
    <row r="88" s="45" customFormat="1" customHeight="1" spans="4:6">
      <c r="D88" s="82"/>
      <c r="F88" s="83"/>
    </row>
    <row r="89" s="45" customFormat="1" customHeight="1" spans="4:6">
      <c r="D89" s="82"/>
      <c r="F89" s="83"/>
    </row>
    <row r="90" s="45" customFormat="1" customHeight="1" spans="4:6">
      <c r="D90" s="82"/>
      <c r="F90" s="83"/>
    </row>
    <row r="91" s="45" customFormat="1" customHeight="1" spans="4:6">
      <c r="D91" s="82"/>
      <c r="F91" s="83"/>
    </row>
    <row r="92" s="45" customFormat="1" customHeight="1" spans="4:6">
      <c r="D92" s="82"/>
      <c r="F92" s="83"/>
    </row>
    <row r="93" s="45" customFormat="1" customHeight="1" spans="4:6">
      <c r="D93" s="82"/>
      <c r="F93" s="83"/>
    </row>
    <row r="94" s="45" customFormat="1" customHeight="1" spans="4:6">
      <c r="D94" s="82"/>
      <c r="F94" s="83"/>
    </row>
    <row r="95" s="45" customFormat="1" customHeight="1" spans="4:6">
      <c r="D95" s="82"/>
      <c r="F95" s="83"/>
    </row>
    <row r="96" s="45" customFormat="1" customHeight="1" spans="4:6">
      <c r="D96" s="82"/>
      <c r="F96" s="83"/>
    </row>
    <row r="97" s="45" customFormat="1" customHeight="1" spans="4:6">
      <c r="D97" s="82"/>
      <c r="F97" s="83"/>
    </row>
    <row r="98" s="45" customFormat="1" customHeight="1" spans="4:6">
      <c r="D98" s="82"/>
      <c r="F98" s="83"/>
    </row>
    <row r="99" s="45" customFormat="1" customHeight="1" spans="4:6">
      <c r="D99" s="82"/>
      <c r="F99" s="83"/>
    </row>
    <row r="100" s="45" customFormat="1" customHeight="1" spans="4:6">
      <c r="D100" s="82"/>
      <c r="F100" s="83"/>
    </row>
    <row r="101" s="45" customFormat="1" customHeight="1" spans="4:6">
      <c r="D101" s="82"/>
      <c r="F101" s="83"/>
    </row>
    <row r="102" s="45" customFormat="1" customHeight="1" spans="4:6">
      <c r="D102" s="82"/>
      <c r="F102" s="83"/>
    </row>
    <row r="103" s="45" customFormat="1" customHeight="1" spans="4:6">
      <c r="D103" s="82"/>
      <c r="F103" s="83"/>
    </row>
    <row r="104" s="45" customFormat="1" customHeight="1" spans="4:6">
      <c r="D104" s="82"/>
      <c r="F104" s="83"/>
    </row>
    <row r="105" s="45" customFormat="1" customHeight="1" spans="4:6">
      <c r="D105" s="82"/>
      <c r="F105" s="83"/>
    </row>
    <row r="106" s="45" customFormat="1" customHeight="1" spans="4:6">
      <c r="D106" s="82"/>
      <c r="F106" s="83"/>
    </row>
    <row r="107" s="45" customFormat="1" customHeight="1" spans="4:6">
      <c r="D107" s="82"/>
      <c r="F107" s="83"/>
    </row>
    <row r="108" s="45" customFormat="1" customHeight="1" spans="4:6">
      <c r="D108" s="82"/>
      <c r="F108" s="83"/>
    </row>
    <row r="109" s="45" customFormat="1" customHeight="1" spans="4:6">
      <c r="D109" s="82"/>
      <c r="F109" s="83"/>
    </row>
    <row r="110" s="45" customFormat="1" customHeight="1" spans="4:6">
      <c r="D110" s="82"/>
      <c r="F110" s="83"/>
    </row>
    <row r="111" s="45" customFormat="1" customHeight="1" spans="4:6">
      <c r="D111" s="82"/>
      <c r="F111" s="83"/>
    </row>
    <row r="112" s="45" customFormat="1" customHeight="1" spans="4:6">
      <c r="D112" s="82"/>
      <c r="F112" s="83"/>
    </row>
    <row r="113" s="45" customFormat="1" customHeight="1" spans="4:6">
      <c r="D113" s="82"/>
      <c r="F113" s="83"/>
    </row>
    <row r="114" s="45" customFormat="1" customHeight="1" spans="4:6">
      <c r="D114" s="82"/>
      <c r="F114" s="83"/>
    </row>
    <row r="115" s="45" customFormat="1" customHeight="1" spans="4:6">
      <c r="D115" s="82"/>
      <c r="F115" s="83"/>
    </row>
    <row r="116" s="45" customFormat="1" customHeight="1" spans="4:6">
      <c r="D116" s="82"/>
      <c r="F116" s="83"/>
    </row>
    <row r="117" s="45" customFormat="1" customHeight="1" spans="4:6">
      <c r="D117" s="82"/>
      <c r="F117" s="83"/>
    </row>
    <row r="118" s="45" customFormat="1" customHeight="1" spans="4:6">
      <c r="D118" s="82"/>
      <c r="F118" s="83"/>
    </row>
    <row r="119" s="45" customFormat="1" customHeight="1" spans="4:6">
      <c r="D119" s="82"/>
      <c r="F119" s="83"/>
    </row>
    <row r="120" s="45" customFormat="1" customHeight="1" spans="4:6">
      <c r="D120" s="82"/>
      <c r="F120" s="83"/>
    </row>
    <row r="121" s="45" customFormat="1" customHeight="1" spans="4:6">
      <c r="D121" s="82"/>
      <c r="F121" s="83"/>
    </row>
    <row r="122" s="45" customFormat="1" customHeight="1" spans="4:6">
      <c r="D122" s="82"/>
      <c r="F122" s="83"/>
    </row>
    <row r="123" s="45" customFormat="1" customHeight="1" spans="4:6">
      <c r="D123" s="82"/>
      <c r="F123" s="83"/>
    </row>
    <row r="124" s="45" customFormat="1" customHeight="1" spans="4:6">
      <c r="D124" s="82"/>
      <c r="F124" s="83"/>
    </row>
    <row r="125" s="45" customFormat="1" customHeight="1" spans="4:6">
      <c r="D125" s="82"/>
      <c r="F125" s="83"/>
    </row>
    <row r="126" s="45" customFormat="1" customHeight="1" spans="4:6">
      <c r="D126" s="82"/>
      <c r="F126" s="83"/>
    </row>
    <row r="127" s="45" customFormat="1" customHeight="1" spans="4:6">
      <c r="D127" s="82"/>
      <c r="F127" s="83"/>
    </row>
    <row r="128" s="45" customFormat="1" customHeight="1" spans="4:6">
      <c r="D128" s="82"/>
      <c r="F128" s="83"/>
    </row>
    <row r="129" s="45" customFormat="1" customHeight="1" spans="4:6">
      <c r="D129" s="82"/>
      <c r="F129" s="83"/>
    </row>
    <row r="130" s="45" customFormat="1" customHeight="1" spans="4:6">
      <c r="D130" s="82"/>
      <c r="F130" s="83"/>
    </row>
    <row r="131" s="45" customFormat="1" customHeight="1" spans="4:6">
      <c r="D131" s="82"/>
      <c r="F131" s="83"/>
    </row>
    <row r="132" s="45" customFormat="1" customHeight="1" spans="4:6">
      <c r="D132" s="82"/>
      <c r="F132" s="83"/>
    </row>
    <row r="133" s="45" customFormat="1" customHeight="1" spans="4:6">
      <c r="D133" s="82"/>
      <c r="F133" s="83"/>
    </row>
    <row r="134" s="45" customFormat="1" customHeight="1" spans="4:6">
      <c r="D134" s="82"/>
      <c r="F134" s="83"/>
    </row>
    <row r="135" s="45" customFormat="1" customHeight="1" spans="4:6">
      <c r="D135" s="82"/>
      <c r="F135" s="83"/>
    </row>
    <row r="136" s="45" customFormat="1" customHeight="1" spans="4:6">
      <c r="D136" s="82"/>
      <c r="F136" s="83"/>
    </row>
    <row r="137" s="45" customFormat="1" customHeight="1" spans="4:6">
      <c r="D137" s="82"/>
      <c r="F137" s="83"/>
    </row>
    <row r="138" s="45" customFormat="1" customHeight="1" spans="4:6">
      <c r="D138" s="82"/>
      <c r="F138" s="83"/>
    </row>
    <row r="139" s="45" customFormat="1" customHeight="1" spans="4:6">
      <c r="D139" s="82"/>
      <c r="F139" s="83"/>
    </row>
    <row r="140" s="45" customFormat="1" customHeight="1" spans="4:6">
      <c r="D140" s="82"/>
      <c r="F140" s="83"/>
    </row>
    <row r="141" s="45" customFormat="1" customHeight="1" spans="4:6">
      <c r="D141" s="82"/>
      <c r="F141" s="83"/>
    </row>
    <row r="142" s="45" customFormat="1" customHeight="1" spans="4:6">
      <c r="D142" s="82"/>
      <c r="F142" s="83"/>
    </row>
    <row r="143" s="45" customFormat="1" customHeight="1" spans="4:6">
      <c r="D143" s="82"/>
      <c r="F143" s="83"/>
    </row>
    <row r="144" s="45" customFormat="1" customHeight="1" spans="4:6">
      <c r="D144" s="82"/>
      <c r="F144" s="83"/>
    </row>
    <row r="145" s="45" customFormat="1" customHeight="1" spans="4:6">
      <c r="D145" s="82"/>
      <c r="F145" s="83"/>
    </row>
    <row r="146" s="45" customFormat="1" customHeight="1" spans="4:6">
      <c r="D146" s="82"/>
      <c r="F146" s="83"/>
    </row>
    <row r="147" s="45" customFormat="1" customHeight="1" spans="4:6">
      <c r="D147" s="82"/>
      <c r="F147" s="83"/>
    </row>
    <row r="148" s="45" customFormat="1" customHeight="1" spans="4:6">
      <c r="D148" s="82"/>
      <c r="F148" s="83"/>
    </row>
    <row r="149" s="45" customFormat="1" customHeight="1" spans="4:6">
      <c r="D149" s="82"/>
      <c r="F149" s="83"/>
    </row>
    <row r="150" s="45" customFormat="1" customHeight="1" spans="4:6">
      <c r="D150" s="82"/>
      <c r="F150" s="83"/>
    </row>
    <row r="151" s="45" customFormat="1" customHeight="1" spans="4:6">
      <c r="D151" s="82"/>
      <c r="F151" s="83"/>
    </row>
    <row r="152" s="45" customFormat="1" customHeight="1" spans="4:6">
      <c r="D152" s="82"/>
      <c r="F152" s="83"/>
    </row>
    <row r="153" s="45" customFormat="1" customHeight="1" spans="4:6">
      <c r="D153" s="82"/>
      <c r="F153" s="83"/>
    </row>
    <row r="154" s="45" customFormat="1" customHeight="1" spans="4:6">
      <c r="D154" s="82"/>
      <c r="F154" s="83"/>
    </row>
    <row r="155" s="45" customFormat="1" customHeight="1" spans="4:6">
      <c r="D155" s="82"/>
      <c r="F155" s="83"/>
    </row>
    <row r="156" s="45" customFormat="1" customHeight="1" spans="4:6">
      <c r="D156" s="82"/>
      <c r="F156" s="83"/>
    </row>
    <row r="157" s="45" customFormat="1" customHeight="1" spans="4:6">
      <c r="D157" s="82"/>
      <c r="F157" s="83"/>
    </row>
    <row r="158" s="45" customFormat="1" customHeight="1" spans="4:6">
      <c r="D158" s="82"/>
      <c r="F158" s="83"/>
    </row>
    <row r="159" s="45" customFormat="1" customHeight="1" spans="4:6">
      <c r="D159" s="82"/>
      <c r="F159" s="83"/>
    </row>
    <row r="160" s="45" customFormat="1" customHeight="1" spans="4:6">
      <c r="D160" s="82"/>
      <c r="F160" s="83"/>
    </row>
    <row r="161" s="45" customFormat="1" customHeight="1" spans="4:6">
      <c r="D161" s="82"/>
      <c r="F161" s="83"/>
    </row>
    <row r="162" s="45" customFormat="1" customHeight="1" spans="4:6">
      <c r="D162" s="82"/>
      <c r="F162" s="83"/>
    </row>
    <row r="163" s="45" customFormat="1" customHeight="1" spans="4:6">
      <c r="D163" s="82"/>
      <c r="F163" s="83"/>
    </row>
    <row r="164" s="45" customFormat="1" customHeight="1" spans="4:6">
      <c r="D164" s="82"/>
      <c r="F164" s="83"/>
    </row>
    <row r="165" s="45" customFormat="1" customHeight="1" spans="4:6">
      <c r="D165" s="82"/>
      <c r="F165" s="83"/>
    </row>
    <row r="166" s="45" customFormat="1" customHeight="1" spans="4:6">
      <c r="D166" s="82"/>
      <c r="F166" s="83"/>
    </row>
    <row r="167" s="45" customFormat="1" customHeight="1" spans="4:6">
      <c r="D167" s="82"/>
      <c r="F167" s="83"/>
    </row>
    <row r="168" s="45" customFormat="1" customHeight="1" spans="4:6">
      <c r="D168" s="82"/>
      <c r="F168" s="83"/>
    </row>
    <row r="169" s="45" customFormat="1" customHeight="1" spans="4:6">
      <c r="D169" s="82"/>
      <c r="F169" s="83"/>
    </row>
  </sheetData>
  <mergeCells count="12">
    <mergeCell ref="B1:F1"/>
    <mergeCell ref="B2:F2"/>
    <mergeCell ref="B3:F3"/>
    <mergeCell ref="B4:F4"/>
    <mergeCell ref="B5:F5"/>
    <mergeCell ref="B6:F6"/>
    <mergeCell ref="B9:F9"/>
    <mergeCell ref="D10:F10"/>
    <mergeCell ref="B14:F14"/>
    <mergeCell ref="B41:F41"/>
    <mergeCell ref="B46:D46"/>
    <mergeCell ref="E46:F46"/>
  </mergeCells>
  <pageMargins left="0.25" right="0.25" top="0.75" bottom="0.75" header="0.3" footer="0.3"/>
  <pageSetup paperSize="9" scale="8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workbookViewId="0">
      <selection activeCell="Y12" sqref="Y12"/>
    </sheetView>
  </sheetViews>
  <sheetFormatPr defaultColWidth="8" defaultRowHeight="15"/>
  <cols>
    <col min="1" max="16384" width="8" style="1"/>
  </cols>
  <sheetData>
    <row r="1" ht="15.75" spans="1:29">
      <c r="A1" s="6" t="s">
        <v>669</v>
      </c>
      <c r="B1" s="6"/>
      <c r="C1" s="6"/>
      <c r="D1" s="6"/>
      <c r="E1" s="6"/>
      <c r="F1" s="6"/>
      <c r="G1" s="6"/>
      <c r="H1" s="3"/>
      <c r="I1" s="4" t="s">
        <v>670</v>
      </c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7.4" customHeight="1" spans="1:29">
      <c r="A2" s="29" t="s">
        <v>671</v>
      </c>
      <c r="B2" s="29"/>
      <c r="C2" s="29"/>
      <c r="D2" s="29"/>
      <c r="E2" s="29"/>
      <c r="F2" s="29"/>
      <c r="G2" s="29"/>
      <c r="H2" s="3"/>
      <c r="I2" s="7" t="s">
        <v>672</v>
      </c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spans="1:29">
      <c r="I3" s="7"/>
      <c r="J3" s="7"/>
      <c r="K3" s="7"/>
      <c r="L3" s="7"/>
      <c r="M3" s="7"/>
      <c r="N3" s="7"/>
      <c r="O3" s="7"/>
      <c r="P3" s="12"/>
      <c r="Q3" s="1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5.75" spans="1:29">
      <c r="C4" s="30" t="s">
        <v>673</v>
      </c>
      <c r="D4" s="30"/>
      <c r="E4" s="30"/>
      <c r="F4" s="30"/>
      <c r="G4" s="30"/>
      <c r="H4" s="30"/>
      <c r="I4" s="30"/>
      <c r="J4" s="30"/>
      <c r="K4" s="12"/>
      <c r="L4" s="12"/>
      <c r="M4" s="12"/>
      <c r="N4" s="12"/>
      <c r="O4" s="12"/>
      <c r="P4" s="12"/>
      <c r="Q4" s="12"/>
    </row>
    <row r="5" ht="15.75" spans="1:29">
      <c r="C5" s="30"/>
      <c r="D5" s="30"/>
      <c r="E5" s="30"/>
      <c r="F5" s="30"/>
      <c r="G5" s="30"/>
      <c r="H5" s="30"/>
      <c r="I5" s="30"/>
      <c r="J5" s="30"/>
      <c r="K5" s="31" t="s">
        <v>674</v>
      </c>
      <c r="L5" s="31"/>
      <c r="M5" s="31" t="s">
        <v>675</v>
      </c>
      <c r="N5" s="31"/>
      <c r="O5" s="31"/>
      <c r="P5" s="12"/>
      <c r="Q5" s="12"/>
      <c r="R5" s="12"/>
      <c r="S5" s="12"/>
      <c r="T5" s="12"/>
      <c r="AA5" s="32"/>
      <c r="AB5" s="32"/>
      <c r="AC5" s="32"/>
    </row>
    <row r="6" ht="15.75" spans="1:29">
      <c r="C6" s="30"/>
      <c r="D6" s="30"/>
      <c r="E6" s="30"/>
      <c r="F6" s="30"/>
      <c r="G6" s="30"/>
      <c r="H6" s="30"/>
      <c r="I6" s="30"/>
      <c r="J6" s="30"/>
      <c r="K6" s="31" t="s">
        <v>676</v>
      </c>
      <c r="L6" s="31"/>
      <c r="M6" s="14" t="s">
        <v>677</v>
      </c>
      <c r="N6" s="14"/>
      <c r="O6" s="14"/>
      <c r="P6" s="11"/>
      <c r="Q6" s="11"/>
      <c r="R6" s="11"/>
      <c r="S6" s="11"/>
      <c r="T6" s="11"/>
      <c r="AA6" s="33"/>
      <c r="AB6" s="33"/>
      <c r="AC6" s="33"/>
    </row>
    <row r="7" ht="15.75" spans="1:29">
      <c r="C7" s="34" t="s">
        <v>678</v>
      </c>
      <c r="D7" s="34"/>
      <c r="E7" s="34"/>
      <c r="F7" s="34"/>
      <c r="G7" s="34"/>
      <c r="H7" s="34"/>
      <c r="I7" s="34"/>
      <c r="J7" s="34"/>
      <c r="K7" s="31" t="s">
        <v>679</v>
      </c>
      <c r="L7" s="31"/>
      <c r="M7" s="14" t="s">
        <v>680</v>
      </c>
      <c r="N7" s="14"/>
      <c r="O7" s="14"/>
      <c r="P7" s="11"/>
      <c r="Q7" s="11"/>
      <c r="R7" s="11"/>
      <c r="S7" s="11"/>
      <c r="T7" s="11"/>
    </row>
    <row r="9" ht="15.75" spans="1:29">
      <c r="A9" s="12" t="s">
        <v>681</v>
      </c>
      <c r="B9" s="12"/>
      <c r="C9" s="12"/>
      <c r="D9" s="14" t="s">
        <v>682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5.75" spans="1:29">
      <c r="A10" s="31" t="s">
        <v>683</v>
      </c>
      <c r="B10" s="31"/>
      <c r="C10" s="14" t="s">
        <v>684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5.75" spans="1:29">
      <c r="A11" s="12" t="s">
        <v>685</v>
      </c>
      <c r="B11" s="12"/>
      <c r="C11" s="14" t="s">
        <v>686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5.75" spans="1:29">
      <c r="A12" s="31" t="s">
        <v>687</v>
      </c>
      <c r="C12" s="35" t="s">
        <v>688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</row>
    <row r="13" ht="15.75" spans="1:29">
      <c r="A13" s="31" t="s">
        <v>689</v>
      </c>
      <c r="B13" s="31"/>
      <c r="C13" s="37" t="s">
        <v>690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ht="15.75" spans="1:29">
      <c r="A14" s="38" t="s">
        <v>691</v>
      </c>
      <c r="B14" s="12"/>
      <c r="C14" s="13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15.75" spans="1:29">
      <c r="A16" s="5" t="s">
        <v>692</v>
      </c>
      <c r="B16" s="5"/>
      <c r="C16" s="5"/>
      <c r="D16" s="4" t="s">
        <v>693</v>
      </c>
      <c r="E16" s="4"/>
      <c r="F16" s="5"/>
      <c r="G16" s="4" t="s">
        <v>694</v>
      </c>
      <c r="H16" s="4"/>
      <c r="J16" s="4" t="s">
        <v>695</v>
      </c>
      <c r="K16" s="4"/>
      <c r="M16" s="4" t="s">
        <v>696</v>
      </c>
      <c r="N16" s="4"/>
      <c r="O16" s="4"/>
      <c r="S16" s="5"/>
      <c r="T16" s="5"/>
      <c r="U16" s="5"/>
      <c r="V16" s="5"/>
      <c r="W16" s="5"/>
      <c r="X16" s="5"/>
    </row>
    <row r="17" spans="1:24">
      <c r="A17" s="22" t="s">
        <v>697</v>
      </c>
      <c r="B17" s="22"/>
      <c r="C17" s="22"/>
      <c r="D17" s="40" t="s">
        <v>698</v>
      </c>
      <c r="E17" s="40"/>
      <c r="F17" s="22"/>
      <c r="G17" s="40" t="s">
        <v>698</v>
      </c>
      <c r="H17" s="40"/>
      <c r="J17" s="40" t="s">
        <v>698</v>
      </c>
      <c r="K17" s="40"/>
      <c r="M17" s="40" t="s">
        <v>698</v>
      </c>
      <c r="N17" s="40"/>
      <c r="O17" s="40"/>
      <c r="S17" s="22"/>
      <c r="T17" s="22"/>
      <c r="U17" s="22"/>
      <c r="V17" s="22"/>
      <c r="W17" s="22"/>
      <c r="X17" s="22"/>
    </row>
    <row r="20" spans="1:24">
      <c r="N20" s="28"/>
    </row>
    <row r="21" spans="1:24">
      <c r="N21" s="28"/>
    </row>
  </sheetData>
  <mergeCells count="31">
    <mergeCell ref="A1:G1"/>
    <mergeCell ref="I1:O1"/>
    <mergeCell ref="A2:G2"/>
    <mergeCell ref="K5:L5"/>
    <mergeCell ref="M5:O5"/>
    <mergeCell ref="AA5:AC5"/>
    <mergeCell ref="K6:L6"/>
    <mergeCell ref="M6:O6"/>
    <mergeCell ref="C7:J7"/>
    <mergeCell ref="K7:L7"/>
    <mergeCell ref="M7:O7"/>
    <mergeCell ref="D9:O9"/>
    <mergeCell ref="A10:B10"/>
    <mergeCell ref="C10:O10"/>
    <mergeCell ref="C11:O11"/>
    <mergeCell ref="C12:O12"/>
    <mergeCell ref="A13:B13"/>
    <mergeCell ref="C13:O13"/>
    <mergeCell ref="D14:O14"/>
    <mergeCell ref="Q15:AA15"/>
    <mergeCell ref="D16:E16"/>
    <mergeCell ref="G16:H16"/>
    <mergeCell ref="J16:K16"/>
    <mergeCell ref="M16:O16"/>
    <mergeCell ref="D17:E17"/>
    <mergeCell ref="G17:H17"/>
    <mergeCell ref="J17:K17"/>
    <mergeCell ref="M17:O17"/>
    <mergeCell ref="N20:N21"/>
    <mergeCell ref="I2:O3"/>
    <mergeCell ref="C4:J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workbookViewId="0">
      <selection activeCell="T31" sqref="T31"/>
    </sheetView>
  </sheetViews>
  <sheetFormatPr defaultColWidth="6.43809523809524" defaultRowHeight="15"/>
  <cols>
    <col min="1" max="16384" width="6.43809523809524" style="1"/>
  </cols>
  <sheetData>
    <row r="1" ht="15.75" spans="1:24">
      <c r="A1" s="2" t="s">
        <v>699</v>
      </c>
      <c r="B1" s="2"/>
      <c r="C1" s="2"/>
      <c r="D1" s="2"/>
      <c r="E1" s="2"/>
      <c r="F1" s="2"/>
      <c r="G1" s="2"/>
      <c r="H1" s="2"/>
      <c r="I1" s="3"/>
      <c r="J1" s="3"/>
      <c r="K1" s="3"/>
      <c r="L1" s="4" t="s">
        <v>700</v>
      </c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</row>
    <row r="2" ht="15.75" spans="1:24">
      <c r="A2" s="2" t="s">
        <v>701</v>
      </c>
      <c r="B2" s="6"/>
      <c r="C2" s="6"/>
      <c r="D2" s="6"/>
      <c r="E2" s="6"/>
      <c r="F2" s="6"/>
      <c r="G2" s="6"/>
      <c r="H2" s="6"/>
      <c r="I2" s="3"/>
      <c r="J2" s="3"/>
      <c r="K2" s="3"/>
      <c r="L2" s="7" t="s">
        <v>672</v>
      </c>
      <c r="M2" s="7"/>
      <c r="N2" s="7"/>
      <c r="O2" s="7"/>
      <c r="P2" s="7"/>
      <c r="Q2" s="7"/>
      <c r="R2" s="7"/>
      <c r="S2" s="7"/>
      <c r="T2" s="7"/>
      <c r="U2" s="5"/>
      <c r="V2" s="5"/>
      <c r="W2" s="5"/>
      <c r="X2" s="5"/>
    </row>
    <row r="3" ht="14.4" customHeight="1" spans="1:2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  <c r="X3" s="8"/>
    </row>
    <row r="4" spans="1:24">
      <c r="O4" s="8"/>
      <c r="P4" s="8"/>
      <c r="Q4" s="8"/>
      <c r="R4" s="8"/>
      <c r="S4" s="8"/>
      <c r="T4" s="8"/>
      <c r="U4" s="8"/>
      <c r="V4" s="8"/>
      <c r="W4" s="8"/>
      <c r="X4" s="8"/>
    </row>
    <row r="5" ht="20.25" spans="1:24">
      <c r="E5" s="9" t="s">
        <v>702</v>
      </c>
      <c r="F5" s="9"/>
      <c r="G5" s="9"/>
      <c r="H5" s="9"/>
      <c r="I5" s="9"/>
      <c r="J5" s="9"/>
      <c r="K5" s="9"/>
      <c r="L5" s="9"/>
      <c r="M5" s="9"/>
      <c r="N5" s="10"/>
      <c r="O5" s="10"/>
      <c r="P5" s="11"/>
      <c r="Q5" s="11"/>
      <c r="R5" s="11"/>
      <c r="S5" s="11"/>
      <c r="T5" s="12"/>
      <c r="U5" s="12"/>
      <c r="V5" s="12"/>
      <c r="W5" s="12"/>
      <c r="X5" s="12"/>
    </row>
    <row r="6" ht="20.25" spans="1:24">
      <c r="J6" s="10"/>
      <c r="K6" s="10"/>
      <c r="L6" s="10"/>
      <c r="M6" s="10"/>
      <c r="N6" s="10"/>
      <c r="O6" s="10"/>
      <c r="P6" s="13" t="s">
        <v>674</v>
      </c>
      <c r="Q6" s="14" t="s">
        <v>703</v>
      </c>
      <c r="R6" s="14"/>
      <c r="S6" s="11"/>
      <c r="T6" s="11"/>
      <c r="U6" s="11"/>
      <c r="V6" s="11"/>
      <c r="W6" s="11"/>
      <c r="X6" s="11"/>
    </row>
    <row r="7" ht="15.75" spans="1:24">
      <c r="E7" s="15" t="s">
        <v>704</v>
      </c>
      <c r="F7" s="15"/>
      <c r="G7" s="15"/>
      <c r="H7" s="15"/>
      <c r="I7" s="15"/>
      <c r="J7" s="15"/>
      <c r="K7" s="15"/>
      <c r="L7" s="15"/>
      <c r="M7" s="15"/>
      <c r="N7" s="16"/>
      <c r="O7" s="16"/>
      <c r="P7" s="11" t="s">
        <v>676</v>
      </c>
      <c r="Q7" s="14" t="s">
        <v>705</v>
      </c>
      <c r="R7" s="14"/>
      <c r="S7" s="11"/>
      <c r="T7" s="11"/>
      <c r="U7" s="11"/>
      <c r="V7" s="11"/>
      <c r="W7" s="11"/>
      <c r="X7" s="11"/>
    </row>
    <row r="8" ht="15.75" spans="1:24">
      <c r="I8" s="16"/>
      <c r="J8" s="16"/>
      <c r="K8" s="16"/>
      <c r="L8" s="16"/>
      <c r="M8" s="16"/>
      <c r="N8" s="16"/>
      <c r="O8" s="16"/>
      <c r="P8" s="11" t="s">
        <v>679</v>
      </c>
      <c r="Q8" s="14" t="s">
        <v>677</v>
      </c>
      <c r="R8" s="14"/>
      <c r="S8" s="11"/>
      <c r="T8" s="11"/>
      <c r="U8" s="11"/>
      <c r="V8" s="11"/>
      <c r="W8" s="11"/>
      <c r="X8" s="11"/>
    </row>
    <row r="10" ht="15.75" spans="1:24">
      <c r="A10" s="14" t="s">
        <v>706</v>
      </c>
      <c r="B10" s="14"/>
      <c r="C10" s="14"/>
      <c r="D10" s="14" t="s">
        <v>707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1"/>
      <c r="V10" s="11"/>
      <c r="W10" s="11"/>
      <c r="X10" s="11"/>
    </row>
    <row r="11" ht="15.75" spans="1:24">
      <c r="A11" s="14" t="s">
        <v>683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1"/>
      <c r="V11" s="11"/>
      <c r="W11" s="11"/>
      <c r="X11" s="11"/>
    </row>
    <row r="12" ht="15.75" spans="1:24">
      <c r="A12" s="14" t="s">
        <v>708</v>
      </c>
      <c r="B12" s="14"/>
      <c r="C12" s="14" t="s">
        <v>709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1"/>
      <c r="V12" s="11"/>
      <c r="W12" s="11"/>
      <c r="X12" s="11"/>
    </row>
    <row r="13" ht="15.75" spans="1:24">
      <c r="A13" s="14" t="s">
        <v>687</v>
      </c>
      <c r="B13" s="14"/>
      <c r="C13" s="17" t="s">
        <v>710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8"/>
      <c r="V13" s="18"/>
      <c r="W13" s="18"/>
      <c r="X13" s="18"/>
    </row>
    <row r="14" ht="15.75" spans="1:24">
      <c r="A14" s="14" t="s">
        <v>689</v>
      </c>
      <c r="B14" s="14"/>
      <c r="C14" s="19" t="s">
        <v>711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/>
      <c r="V14" s="20"/>
      <c r="W14" s="20"/>
      <c r="X14" s="20"/>
    </row>
    <row r="15" ht="15.75" spans="1:24">
      <c r="A15" s="21" t="s">
        <v>712</v>
      </c>
      <c r="B15" s="21"/>
      <c r="C15" s="21"/>
      <c r="D15" s="2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>
      <c r="S16" s="22"/>
      <c r="T16" s="22"/>
      <c r="U16" s="22"/>
      <c r="V16" s="22"/>
      <c r="W16" s="22"/>
    </row>
    <row r="17" ht="15.75" spans="1:24">
      <c r="A17" s="4" t="s">
        <v>692</v>
      </c>
      <c r="B17" s="4"/>
      <c r="C17" s="4"/>
      <c r="D17" s="4"/>
      <c r="E17" s="5"/>
      <c r="F17" s="4" t="s">
        <v>693</v>
      </c>
      <c r="G17" s="4"/>
      <c r="H17" s="4"/>
      <c r="I17" s="5"/>
      <c r="J17" s="4" t="s">
        <v>696</v>
      </c>
      <c r="K17" s="4"/>
      <c r="L17" s="5"/>
      <c r="M17" s="23" t="s">
        <v>695</v>
      </c>
      <c r="N17" s="23"/>
      <c r="O17" s="23"/>
      <c r="P17" s="24" t="s">
        <v>713</v>
      </c>
      <c r="Q17" s="24"/>
      <c r="R17" s="24"/>
      <c r="T17" s="25"/>
      <c r="U17" s="25"/>
      <c r="V17" s="25"/>
      <c r="X17" s="25"/>
    </row>
    <row r="18" ht="15.75" spans="1:24">
      <c r="A18" s="26" t="s">
        <v>697</v>
      </c>
      <c r="B18" s="26"/>
      <c r="C18" s="26"/>
      <c r="D18" s="26"/>
      <c r="F18" s="26" t="s">
        <v>698</v>
      </c>
      <c r="G18" s="26"/>
      <c r="H18" s="26"/>
      <c r="I18" s="27"/>
      <c r="J18" s="26" t="s">
        <v>698</v>
      </c>
      <c r="K18" s="26"/>
      <c r="M18" s="26" t="s">
        <v>698</v>
      </c>
      <c r="N18" s="26"/>
      <c r="O18" s="26"/>
      <c r="P18" s="26" t="s">
        <v>698</v>
      </c>
      <c r="Q18" s="26"/>
      <c r="R18" s="26"/>
      <c r="T18" s="25"/>
      <c r="U18" s="25"/>
      <c r="V18" s="25"/>
      <c r="W18" s="25"/>
      <c r="X18" s="25"/>
    </row>
    <row r="19" ht="14.4" customHeight="1" spans="1:24">
      <c r="D19" s="27"/>
      <c r="E19" s="27"/>
      <c r="F19" s="27"/>
      <c r="H19" s="27"/>
      <c r="I19" s="27"/>
      <c r="J19" s="27"/>
      <c r="K19" s="27"/>
      <c r="L19" s="27"/>
      <c r="O19" s="27"/>
      <c r="P19" s="27"/>
      <c r="Q19" s="27"/>
      <c r="R19" s="27"/>
      <c r="S19" s="27"/>
      <c r="T19" s="27"/>
      <c r="U19" s="27"/>
      <c r="V19" s="27"/>
    </row>
    <row r="22" ht="15.75" spans="1:24">
      <c r="W22" s="28"/>
      <c r="X22" s="28"/>
    </row>
  </sheetData>
  <mergeCells count="31">
    <mergeCell ref="A1:H1"/>
    <mergeCell ref="L1:T1"/>
    <mergeCell ref="A2:H2"/>
    <mergeCell ref="E5:M5"/>
    <mergeCell ref="Q6:R6"/>
    <mergeCell ref="E7:M7"/>
    <mergeCell ref="Q7:R7"/>
    <mergeCell ref="Q8:R8"/>
    <mergeCell ref="A10:C10"/>
    <mergeCell ref="D10:T10"/>
    <mergeCell ref="A11:C11"/>
    <mergeCell ref="D11:T11"/>
    <mergeCell ref="A12:B12"/>
    <mergeCell ref="C12:T12"/>
    <mergeCell ref="A13:B13"/>
    <mergeCell ref="C13:T13"/>
    <mergeCell ref="A14:B14"/>
    <mergeCell ref="C14:T14"/>
    <mergeCell ref="A15:D15"/>
    <mergeCell ref="A17:D17"/>
    <mergeCell ref="F17:H17"/>
    <mergeCell ref="J17:K17"/>
    <mergeCell ref="M17:O17"/>
    <mergeCell ref="P17:R17"/>
    <mergeCell ref="A18:D18"/>
    <mergeCell ref="F18:H18"/>
    <mergeCell ref="J18:K18"/>
    <mergeCell ref="M18:O18"/>
    <mergeCell ref="P18:R18"/>
    <mergeCell ref="W22:X22"/>
    <mergeCell ref="L2:T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Bảng sản phẩm</vt:lpstr>
      <vt:lpstr>Báo giá </vt:lpstr>
      <vt:lpstr>Đơn hàng</vt:lpstr>
      <vt:lpstr>Lệnh xuất - BBGH</vt:lpstr>
      <vt:lpstr>Phiếu thu</vt:lpstr>
      <vt:lpstr>Phiếu chi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7567</dc:creator>
  <cp:lastModifiedBy>ADMIN</cp:lastModifiedBy>
  <dcterms:created xsi:type="dcterms:W3CDTF">2021-05-13T01:21:00Z</dcterms:created>
  <cp:lastPrinted>2026-01-13T16:35:00Z</cp:lastPrinted>
  <dcterms:modified xsi:type="dcterms:W3CDTF">2026-10-11T11:36:45Z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C50AE5CDA04F468296548EB4FB14C263_12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